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than.smith\Desktop\"/>
    </mc:Choice>
  </mc:AlternateContent>
  <bookViews>
    <workbookView xWindow="0" yWindow="0" windowWidth="21570" windowHeight="9315"/>
  </bookViews>
  <sheets>
    <sheet name="Resource Names" sheetId="5" r:id="rId1"/>
    <sheet name="LookupLists" sheetId="3" r:id="rId2"/>
  </sheets>
  <functionGroups builtInGroupCount="18"/>
  <definedNames>
    <definedName name="AzureRegions">LookupLists!$A$4:INDEX(LookupLists!$A$4:$A$1000,SUMPRODUCT(--(LookupLists!$A$4:$A$1000&lt;&gt;"")))</definedName>
    <definedName name="AzureResourceTypes">LookupLists!$N$4:$N$23</definedName>
    <definedName name="AzureRootResourceTypes">LookupLists!$N$4:INDEX(LookupLists!$N$4:$N$1000,SUMPRODUCT(--(LookupLists!$N$4:$N$1000&lt;&gt;"")))</definedName>
    <definedName name="Environments">LookupLists!$I$4:INDEX(LookupLists!$I$4:$I$1000,SUMPRODUCT(--(LookupLists!$I$4:$I$1000&lt;&gt;"")))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5" l="1"/>
  <c r="I8" i="5"/>
  <c r="J8" i="5"/>
  <c r="L8" i="5"/>
  <c r="N8" i="5"/>
  <c r="O8" i="5"/>
  <c r="P8" i="5"/>
  <c r="Q8" i="5"/>
  <c r="S8" i="5"/>
  <c r="T8" i="5"/>
  <c r="U8" i="5"/>
  <c r="V8" i="5"/>
  <c r="H9" i="5"/>
  <c r="I9" i="5"/>
  <c r="J9" i="5"/>
  <c r="L9" i="5"/>
  <c r="N9" i="5"/>
  <c r="O9" i="5"/>
  <c r="P9" i="5"/>
  <c r="Q9" i="5"/>
  <c r="S9" i="5"/>
  <c r="T9" i="5"/>
  <c r="U9" i="5"/>
  <c r="V9" i="5"/>
  <c r="H10" i="5"/>
  <c r="I10" i="5"/>
  <c r="J10" i="5"/>
  <c r="L10" i="5"/>
  <c r="N10" i="5"/>
  <c r="O10" i="5"/>
  <c r="P10" i="5"/>
  <c r="Q10" i="5"/>
  <c r="S10" i="5"/>
  <c r="T10" i="5"/>
  <c r="U10" i="5"/>
  <c r="V10" i="5"/>
  <c r="H11" i="5"/>
  <c r="I11" i="5"/>
  <c r="J11" i="5"/>
  <c r="L11" i="5"/>
  <c r="N11" i="5"/>
  <c r="O11" i="5"/>
  <c r="P11" i="5"/>
  <c r="Q11" i="5"/>
  <c r="S11" i="5"/>
  <c r="T11" i="5"/>
  <c r="U11" i="5"/>
  <c r="V11" i="5"/>
  <c r="H12" i="5"/>
  <c r="I12" i="5"/>
  <c r="J12" i="5"/>
  <c r="L12" i="5"/>
  <c r="N12" i="5"/>
  <c r="O12" i="5"/>
  <c r="P12" i="5"/>
  <c r="Q12" i="5"/>
  <c r="S12" i="5"/>
  <c r="T12" i="5"/>
  <c r="U12" i="5"/>
  <c r="V12" i="5"/>
  <c r="H13" i="5"/>
  <c r="I13" i="5"/>
  <c r="J13" i="5"/>
  <c r="L13" i="5"/>
  <c r="N13" i="5"/>
  <c r="O13" i="5"/>
  <c r="P13" i="5"/>
  <c r="Q13" i="5"/>
  <c r="S13" i="5"/>
  <c r="T13" i="5"/>
  <c r="U13" i="5"/>
  <c r="V13" i="5"/>
  <c r="H14" i="5"/>
  <c r="I14" i="5"/>
  <c r="J14" i="5"/>
  <c r="L14" i="5"/>
  <c r="N14" i="5"/>
  <c r="O14" i="5"/>
  <c r="P14" i="5"/>
  <c r="Q14" i="5"/>
  <c r="S14" i="5"/>
  <c r="T14" i="5"/>
  <c r="U14" i="5"/>
  <c r="V14" i="5"/>
  <c r="H15" i="5"/>
  <c r="I15" i="5"/>
  <c r="J15" i="5"/>
  <c r="L15" i="5"/>
  <c r="N15" i="5"/>
  <c r="O15" i="5"/>
  <c r="P15" i="5"/>
  <c r="Q15" i="5"/>
  <c r="S15" i="5"/>
  <c r="T15" i="5"/>
  <c r="U15" i="5"/>
  <c r="V15" i="5"/>
  <c r="H16" i="5"/>
  <c r="I16" i="5"/>
  <c r="J16" i="5"/>
  <c r="L16" i="5"/>
  <c r="N16" i="5"/>
  <c r="O16" i="5"/>
  <c r="P16" i="5"/>
  <c r="Q16" i="5"/>
  <c r="S16" i="5"/>
  <c r="T16" i="5"/>
  <c r="U16" i="5"/>
  <c r="V16" i="5"/>
  <c r="H17" i="5"/>
  <c r="I17" i="5"/>
  <c r="J17" i="5"/>
  <c r="L17" i="5"/>
  <c r="N17" i="5"/>
  <c r="O17" i="5"/>
  <c r="P17" i="5"/>
  <c r="Q17" i="5"/>
  <c r="S17" i="5"/>
  <c r="T17" i="5"/>
  <c r="U17" i="5"/>
  <c r="V17" i="5"/>
  <c r="H18" i="5"/>
  <c r="I18" i="5"/>
  <c r="J18" i="5"/>
  <c r="L18" i="5"/>
  <c r="N18" i="5"/>
  <c r="O18" i="5"/>
  <c r="P18" i="5"/>
  <c r="Q18" i="5"/>
  <c r="S18" i="5"/>
  <c r="T18" i="5"/>
  <c r="U18" i="5"/>
  <c r="V18" i="5"/>
  <c r="H19" i="5"/>
  <c r="I19" i="5"/>
  <c r="J19" i="5"/>
  <c r="L19" i="5"/>
  <c r="N19" i="5"/>
  <c r="O19" i="5"/>
  <c r="P19" i="5"/>
  <c r="Q19" i="5"/>
  <c r="R19" i="5"/>
  <c r="S19" i="5"/>
  <c r="T19" i="5"/>
  <c r="U19" i="5"/>
  <c r="V19" i="5"/>
  <c r="H20" i="5"/>
  <c r="I20" i="5"/>
  <c r="J20" i="5"/>
  <c r="K20" i="5"/>
  <c r="L20" i="5"/>
  <c r="N20" i="5"/>
  <c r="O20" i="5"/>
  <c r="P20" i="5"/>
  <c r="Q20" i="5"/>
  <c r="S20" i="5"/>
  <c r="T20" i="5"/>
  <c r="U20" i="5"/>
  <c r="V20" i="5"/>
  <c r="H21" i="5"/>
  <c r="I21" i="5"/>
  <c r="J21" i="5"/>
  <c r="L21" i="5"/>
  <c r="N21" i="5"/>
  <c r="O21" i="5"/>
  <c r="P21" i="5"/>
  <c r="Q21" i="5"/>
  <c r="S21" i="5"/>
  <c r="T21" i="5"/>
  <c r="U21" i="5"/>
  <c r="V21" i="5"/>
  <c r="H22" i="5"/>
  <c r="I22" i="5"/>
  <c r="J22" i="5"/>
  <c r="L22" i="5"/>
  <c r="N22" i="5"/>
  <c r="O22" i="5"/>
  <c r="P22" i="5"/>
  <c r="Q22" i="5"/>
  <c r="S22" i="5"/>
  <c r="T22" i="5"/>
  <c r="U22" i="5"/>
  <c r="V22" i="5"/>
  <c r="H23" i="5"/>
  <c r="I23" i="5"/>
  <c r="J23" i="5"/>
  <c r="L23" i="5"/>
  <c r="N23" i="5"/>
  <c r="O23" i="5"/>
  <c r="P23" i="5"/>
  <c r="Q23" i="5"/>
  <c r="S23" i="5"/>
  <c r="T23" i="5"/>
  <c r="U23" i="5"/>
  <c r="V23" i="5"/>
  <c r="H24" i="5"/>
  <c r="I24" i="5"/>
  <c r="J24" i="5"/>
  <c r="L24" i="5"/>
  <c r="N24" i="5"/>
  <c r="O24" i="5"/>
  <c r="P24" i="5"/>
  <c r="Q24" i="5"/>
  <c r="S24" i="5"/>
  <c r="T24" i="5"/>
  <c r="U24" i="5"/>
  <c r="V24" i="5"/>
  <c r="H25" i="5"/>
  <c r="I25" i="5"/>
  <c r="J25" i="5"/>
  <c r="L25" i="5"/>
  <c r="N25" i="5"/>
  <c r="O25" i="5"/>
  <c r="P25" i="5"/>
  <c r="Q25" i="5"/>
  <c r="S25" i="5"/>
  <c r="T25" i="5"/>
  <c r="U25" i="5"/>
  <c r="V25" i="5"/>
  <c r="H26" i="5"/>
  <c r="I26" i="5"/>
  <c r="J26" i="5"/>
  <c r="L26" i="5"/>
  <c r="N26" i="5"/>
  <c r="O26" i="5"/>
  <c r="P26" i="5"/>
  <c r="Q26" i="5"/>
  <c r="S26" i="5"/>
  <c r="T26" i="5"/>
  <c r="U26" i="5"/>
  <c r="V26" i="5"/>
  <c r="H27" i="5"/>
  <c r="I27" i="5"/>
  <c r="J27" i="5"/>
  <c r="L27" i="5"/>
  <c r="N27" i="5"/>
  <c r="O27" i="5"/>
  <c r="P27" i="5"/>
  <c r="Q27" i="5"/>
  <c r="S27" i="5"/>
  <c r="T27" i="5"/>
  <c r="U27" i="5"/>
  <c r="V27" i="5"/>
  <c r="H28" i="5"/>
  <c r="I28" i="5"/>
  <c r="J28" i="5"/>
  <c r="L28" i="5"/>
  <c r="N28" i="5"/>
  <c r="O28" i="5"/>
  <c r="P28" i="5"/>
  <c r="Q28" i="5"/>
  <c r="S28" i="5"/>
  <c r="T28" i="5"/>
  <c r="U28" i="5"/>
  <c r="V28" i="5"/>
  <c r="H29" i="5"/>
  <c r="I29" i="5"/>
  <c r="J29" i="5"/>
  <c r="L29" i="5"/>
  <c r="N29" i="5"/>
  <c r="O29" i="5"/>
  <c r="P29" i="5"/>
  <c r="Q29" i="5"/>
  <c r="S29" i="5"/>
  <c r="T29" i="5"/>
  <c r="U29" i="5"/>
  <c r="V29" i="5"/>
  <c r="H30" i="5"/>
  <c r="I30" i="5"/>
  <c r="J30" i="5"/>
  <c r="L30" i="5"/>
  <c r="N30" i="5"/>
  <c r="O30" i="5"/>
  <c r="P30" i="5"/>
  <c r="Q30" i="5"/>
  <c r="S30" i="5"/>
  <c r="T30" i="5"/>
  <c r="U30" i="5"/>
  <c r="V30" i="5"/>
  <c r="H31" i="5"/>
  <c r="I31" i="5"/>
  <c r="J31" i="5"/>
  <c r="L31" i="5"/>
  <c r="N31" i="5"/>
  <c r="O31" i="5"/>
  <c r="P31" i="5"/>
  <c r="Q31" i="5"/>
  <c r="S31" i="5"/>
  <c r="T31" i="5"/>
  <c r="U31" i="5"/>
  <c r="V31" i="5"/>
  <c r="H32" i="5"/>
  <c r="I32" i="5"/>
  <c r="J32" i="5"/>
  <c r="L32" i="5"/>
  <c r="N32" i="5"/>
  <c r="O32" i="5"/>
  <c r="P32" i="5"/>
  <c r="Q32" i="5"/>
  <c r="S32" i="5"/>
  <c r="T32" i="5"/>
  <c r="U32" i="5"/>
  <c r="V32" i="5"/>
  <c r="H33" i="5"/>
  <c r="I33" i="5"/>
  <c r="J33" i="5"/>
  <c r="L33" i="5"/>
  <c r="N33" i="5"/>
  <c r="O33" i="5"/>
  <c r="P33" i="5"/>
  <c r="Q33" i="5"/>
  <c r="S33" i="5"/>
  <c r="T33" i="5"/>
  <c r="U33" i="5"/>
  <c r="V33" i="5"/>
  <c r="H34" i="5"/>
  <c r="I34" i="5"/>
  <c r="J34" i="5"/>
  <c r="L34" i="5"/>
  <c r="N34" i="5"/>
  <c r="O34" i="5"/>
  <c r="P34" i="5"/>
  <c r="Q34" i="5"/>
  <c r="S34" i="5"/>
  <c r="T34" i="5"/>
  <c r="U34" i="5"/>
  <c r="V34" i="5"/>
  <c r="H35" i="5"/>
  <c r="I35" i="5"/>
  <c r="J35" i="5"/>
  <c r="L35" i="5"/>
  <c r="N35" i="5"/>
  <c r="O35" i="5"/>
  <c r="P35" i="5"/>
  <c r="Q35" i="5"/>
  <c r="S35" i="5"/>
  <c r="T35" i="5"/>
  <c r="U35" i="5"/>
  <c r="V35" i="5"/>
  <c r="H36" i="5"/>
  <c r="I36" i="5"/>
  <c r="J36" i="5"/>
  <c r="L36" i="5"/>
  <c r="N36" i="5"/>
  <c r="O36" i="5"/>
  <c r="P36" i="5"/>
  <c r="Q36" i="5"/>
  <c r="S36" i="5"/>
  <c r="T36" i="5"/>
  <c r="U36" i="5"/>
  <c r="V36" i="5"/>
  <c r="H37" i="5"/>
  <c r="I37" i="5"/>
  <c r="J37" i="5"/>
  <c r="L37" i="5"/>
  <c r="N37" i="5"/>
  <c r="O37" i="5"/>
  <c r="P37" i="5"/>
  <c r="Q37" i="5"/>
  <c r="S37" i="5"/>
  <c r="T37" i="5"/>
  <c r="U37" i="5"/>
  <c r="V37" i="5"/>
  <c r="H38" i="5"/>
  <c r="I38" i="5"/>
  <c r="J38" i="5"/>
  <c r="L38" i="5"/>
  <c r="M38" i="5"/>
  <c r="N38" i="5"/>
  <c r="O38" i="5"/>
  <c r="P38" i="5"/>
  <c r="Q38" i="5"/>
  <c r="S38" i="5"/>
  <c r="T38" i="5"/>
  <c r="U38" i="5"/>
  <c r="V38" i="5"/>
  <c r="H39" i="5"/>
  <c r="I39" i="5"/>
  <c r="J39" i="5"/>
  <c r="L39" i="5"/>
  <c r="N39" i="5"/>
  <c r="O39" i="5"/>
  <c r="P39" i="5"/>
  <c r="Q39" i="5"/>
  <c r="S39" i="5"/>
  <c r="T39" i="5"/>
  <c r="U39" i="5"/>
  <c r="V39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H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H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H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H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H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H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H140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H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H143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H144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H145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U146" i="5"/>
  <c r="V146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H148" i="5"/>
  <c r="I148" i="5"/>
  <c r="J148" i="5"/>
  <c r="K148" i="5"/>
  <c r="L148" i="5"/>
  <c r="M148" i="5"/>
  <c r="N148" i="5"/>
  <c r="O148" i="5"/>
  <c r="P148" i="5"/>
  <c r="Q148" i="5"/>
  <c r="R148" i="5"/>
  <c r="S148" i="5"/>
  <c r="T148" i="5"/>
  <c r="U148" i="5"/>
  <c r="V148" i="5"/>
  <c r="H149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U149" i="5"/>
  <c r="V149" i="5"/>
  <c r="H150" i="5"/>
  <c r="I150" i="5"/>
  <c r="J150" i="5"/>
  <c r="K150" i="5"/>
  <c r="L150" i="5"/>
  <c r="M150" i="5"/>
  <c r="N150" i="5"/>
  <c r="O150" i="5"/>
  <c r="P150" i="5"/>
  <c r="Q150" i="5"/>
  <c r="R150" i="5"/>
  <c r="S150" i="5"/>
  <c r="T150" i="5"/>
  <c r="U150" i="5"/>
  <c r="V150" i="5"/>
  <c r="H151" i="5"/>
  <c r="I151" i="5"/>
  <c r="J151" i="5"/>
  <c r="K151" i="5"/>
  <c r="L151" i="5"/>
  <c r="M151" i="5"/>
  <c r="N151" i="5"/>
  <c r="O151" i="5"/>
  <c r="P151" i="5"/>
  <c r="Q151" i="5"/>
  <c r="R151" i="5"/>
  <c r="S151" i="5"/>
  <c r="T151" i="5"/>
  <c r="U151" i="5"/>
  <c r="V151" i="5"/>
  <c r="H152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H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H154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U154" i="5"/>
  <c r="V154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H156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U156" i="5"/>
  <c r="V156" i="5"/>
  <c r="H157" i="5"/>
  <c r="I157" i="5"/>
  <c r="J157" i="5"/>
  <c r="K157" i="5"/>
  <c r="L157" i="5"/>
  <c r="M157" i="5"/>
  <c r="N157" i="5"/>
  <c r="O157" i="5"/>
  <c r="P157" i="5"/>
  <c r="Q157" i="5"/>
  <c r="R157" i="5"/>
  <c r="S157" i="5"/>
  <c r="T157" i="5"/>
  <c r="U157" i="5"/>
  <c r="V157" i="5"/>
  <c r="H158" i="5"/>
  <c r="I158" i="5"/>
  <c r="J158" i="5"/>
  <c r="K158" i="5"/>
  <c r="L158" i="5"/>
  <c r="M158" i="5"/>
  <c r="N158" i="5"/>
  <c r="O158" i="5"/>
  <c r="P158" i="5"/>
  <c r="Q158" i="5"/>
  <c r="R158" i="5"/>
  <c r="S158" i="5"/>
  <c r="T158" i="5"/>
  <c r="U158" i="5"/>
  <c r="V158" i="5"/>
  <c r="H159" i="5"/>
  <c r="I159" i="5"/>
  <c r="J159" i="5"/>
  <c r="K159" i="5"/>
  <c r="L159" i="5"/>
  <c r="M159" i="5"/>
  <c r="N159" i="5"/>
  <c r="O159" i="5"/>
  <c r="P159" i="5"/>
  <c r="Q159" i="5"/>
  <c r="R159" i="5"/>
  <c r="S159" i="5"/>
  <c r="T159" i="5"/>
  <c r="U159" i="5"/>
  <c r="V159" i="5"/>
  <c r="H160" i="5"/>
  <c r="I160" i="5"/>
  <c r="J160" i="5"/>
  <c r="K160" i="5"/>
  <c r="L160" i="5"/>
  <c r="M160" i="5"/>
  <c r="N160" i="5"/>
  <c r="O160" i="5"/>
  <c r="P160" i="5"/>
  <c r="Q160" i="5"/>
  <c r="R160" i="5"/>
  <c r="S160" i="5"/>
  <c r="T160" i="5"/>
  <c r="U160" i="5"/>
  <c r="V160" i="5"/>
  <c r="H161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U161" i="5"/>
  <c r="V161" i="5"/>
  <c r="H162" i="5"/>
  <c r="I162" i="5"/>
  <c r="J162" i="5"/>
  <c r="K162" i="5"/>
  <c r="L162" i="5"/>
  <c r="M162" i="5"/>
  <c r="N162" i="5"/>
  <c r="O162" i="5"/>
  <c r="P162" i="5"/>
  <c r="Q162" i="5"/>
  <c r="R162" i="5"/>
  <c r="S162" i="5"/>
  <c r="T162" i="5"/>
  <c r="U162" i="5"/>
  <c r="V162" i="5"/>
  <c r="H163" i="5"/>
  <c r="I163" i="5"/>
  <c r="J163" i="5"/>
  <c r="K163" i="5"/>
  <c r="L163" i="5"/>
  <c r="M163" i="5"/>
  <c r="N163" i="5"/>
  <c r="O163" i="5"/>
  <c r="P163" i="5"/>
  <c r="Q163" i="5"/>
  <c r="R163" i="5"/>
  <c r="S163" i="5"/>
  <c r="T163" i="5"/>
  <c r="U163" i="5"/>
  <c r="V163" i="5"/>
  <c r="H164" i="5"/>
  <c r="I164" i="5"/>
  <c r="J164" i="5"/>
  <c r="K164" i="5"/>
  <c r="L164" i="5"/>
  <c r="M164" i="5"/>
  <c r="N164" i="5"/>
  <c r="O164" i="5"/>
  <c r="P164" i="5"/>
  <c r="Q164" i="5"/>
  <c r="R164" i="5"/>
  <c r="S164" i="5"/>
  <c r="T164" i="5"/>
  <c r="U164" i="5"/>
  <c r="V164" i="5"/>
  <c r="H165" i="5"/>
  <c r="I165" i="5"/>
  <c r="J165" i="5"/>
  <c r="K165" i="5"/>
  <c r="L165" i="5"/>
  <c r="M165" i="5"/>
  <c r="N165" i="5"/>
  <c r="O165" i="5"/>
  <c r="P165" i="5"/>
  <c r="Q165" i="5"/>
  <c r="R165" i="5"/>
  <c r="S165" i="5"/>
  <c r="T165" i="5"/>
  <c r="U165" i="5"/>
  <c r="V165" i="5"/>
  <c r="H166" i="5"/>
  <c r="I166" i="5"/>
  <c r="J166" i="5"/>
  <c r="K166" i="5"/>
  <c r="L166" i="5"/>
  <c r="M166" i="5"/>
  <c r="N166" i="5"/>
  <c r="O166" i="5"/>
  <c r="P166" i="5"/>
  <c r="Q166" i="5"/>
  <c r="R166" i="5"/>
  <c r="S166" i="5"/>
  <c r="T166" i="5"/>
  <c r="U166" i="5"/>
  <c r="V166" i="5"/>
  <c r="H167" i="5"/>
  <c r="I167" i="5"/>
  <c r="J167" i="5"/>
  <c r="K167" i="5"/>
  <c r="L167" i="5"/>
  <c r="M167" i="5"/>
  <c r="N167" i="5"/>
  <c r="O167" i="5"/>
  <c r="P167" i="5"/>
  <c r="Q167" i="5"/>
  <c r="R167" i="5"/>
  <c r="S167" i="5"/>
  <c r="T167" i="5"/>
  <c r="U167" i="5"/>
  <c r="V167" i="5"/>
  <c r="H168" i="5"/>
  <c r="I168" i="5"/>
  <c r="J168" i="5"/>
  <c r="K168" i="5"/>
  <c r="L168" i="5"/>
  <c r="M168" i="5"/>
  <c r="N168" i="5"/>
  <c r="O168" i="5"/>
  <c r="P168" i="5"/>
  <c r="Q168" i="5"/>
  <c r="R168" i="5"/>
  <c r="S168" i="5"/>
  <c r="T168" i="5"/>
  <c r="U168" i="5"/>
  <c r="V168" i="5"/>
  <c r="H169" i="5"/>
  <c r="I169" i="5"/>
  <c r="J169" i="5"/>
  <c r="K169" i="5"/>
  <c r="L169" i="5"/>
  <c r="M169" i="5"/>
  <c r="N169" i="5"/>
  <c r="O169" i="5"/>
  <c r="P169" i="5"/>
  <c r="Q169" i="5"/>
  <c r="R169" i="5"/>
  <c r="S169" i="5"/>
  <c r="T169" i="5"/>
  <c r="U169" i="5"/>
  <c r="V169" i="5"/>
  <c r="H170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H171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H172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H173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H174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H175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H176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U176" i="5"/>
  <c r="V176" i="5"/>
  <c r="H177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U177" i="5"/>
  <c r="V177" i="5"/>
  <c r="H178" i="5"/>
  <c r="I178" i="5"/>
  <c r="J178" i="5"/>
  <c r="K178" i="5"/>
  <c r="L178" i="5"/>
  <c r="M178" i="5"/>
  <c r="N178" i="5"/>
  <c r="O178" i="5"/>
  <c r="P178" i="5"/>
  <c r="Q178" i="5"/>
  <c r="R178" i="5"/>
  <c r="S178" i="5"/>
  <c r="T178" i="5"/>
  <c r="U178" i="5"/>
  <c r="V178" i="5"/>
  <c r="H179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U179" i="5"/>
  <c r="V179" i="5"/>
  <c r="H180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H181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H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H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H184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H185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U185" i="5"/>
  <c r="V185" i="5"/>
  <c r="H186" i="5"/>
  <c r="I186" i="5"/>
  <c r="J186" i="5"/>
  <c r="K186" i="5"/>
  <c r="L186" i="5"/>
  <c r="M186" i="5"/>
  <c r="N186" i="5"/>
  <c r="O186" i="5"/>
  <c r="P186" i="5"/>
  <c r="Q186" i="5"/>
  <c r="R186" i="5"/>
  <c r="S186" i="5"/>
  <c r="T186" i="5"/>
  <c r="U186" i="5"/>
  <c r="V186" i="5"/>
  <c r="H187" i="5"/>
  <c r="I187" i="5"/>
  <c r="J187" i="5"/>
  <c r="K187" i="5"/>
  <c r="L187" i="5"/>
  <c r="M187" i="5"/>
  <c r="N187" i="5"/>
  <c r="O187" i="5"/>
  <c r="P187" i="5"/>
  <c r="Q187" i="5"/>
  <c r="R187" i="5"/>
  <c r="S187" i="5"/>
  <c r="T187" i="5"/>
  <c r="U187" i="5"/>
  <c r="V187" i="5"/>
  <c r="H188" i="5"/>
  <c r="I188" i="5"/>
  <c r="J188" i="5"/>
  <c r="K188" i="5"/>
  <c r="L188" i="5"/>
  <c r="M188" i="5"/>
  <c r="N188" i="5"/>
  <c r="O188" i="5"/>
  <c r="P188" i="5"/>
  <c r="Q188" i="5"/>
  <c r="R188" i="5"/>
  <c r="S188" i="5"/>
  <c r="T188" i="5"/>
  <c r="U188" i="5"/>
  <c r="V188" i="5"/>
  <c r="H189" i="5"/>
  <c r="I189" i="5"/>
  <c r="J189" i="5"/>
  <c r="K189" i="5"/>
  <c r="L189" i="5"/>
  <c r="M189" i="5"/>
  <c r="N189" i="5"/>
  <c r="O189" i="5"/>
  <c r="P189" i="5"/>
  <c r="Q189" i="5"/>
  <c r="R189" i="5"/>
  <c r="S189" i="5"/>
  <c r="T189" i="5"/>
  <c r="U189" i="5"/>
  <c r="V189" i="5"/>
  <c r="H190" i="5"/>
  <c r="I190" i="5"/>
  <c r="J190" i="5"/>
  <c r="K190" i="5"/>
  <c r="L190" i="5"/>
  <c r="M190" i="5"/>
  <c r="N190" i="5"/>
  <c r="O190" i="5"/>
  <c r="P190" i="5"/>
  <c r="Q190" i="5"/>
  <c r="R190" i="5"/>
  <c r="S190" i="5"/>
  <c r="T190" i="5"/>
  <c r="U190" i="5"/>
  <c r="V190" i="5"/>
  <c r="H191" i="5"/>
  <c r="I191" i="5"/>
  <c r="J191" i="5"/>
  <c r="K191" i="5"/>
  <c r="L191" i="5"/>
  <c r="M191" i="5"/>
  <c r="N191" i="5"/>
  <c r="O191" i="5"/>
  <c r="P191" i="5"/>
  <c r="Q191" i="5"/>
  <c r="R191" i="5"/>
  <c r="S191" i="5"/>
  <c r="T191" i="5"/>
  <c r="U191" i="5"/>
  <c r="V191" i="5"/>
  <c r="H192" i="5"/>
  <c r="I192" i="5"/>
  <c r="J192" i="5"/>
  <c r="K192" i="5"/>
  <c r="L192" i="5"/>
  <c r="M192" i="5"/>
  <c r="N192" i="5"/>
  <c r="O192" i="5"/>
  <c r="P192" i="5"/>
  <c r="Q192" i="5"/>
  <c r="R192" i="5"/>
  <c r="S192" i="5"/>
  <c r="T192" i="5"/>
  <c r="U192" i="5"/>
  <c r="V192" i="5"/>
  <c r="H193" i="5"/>
  <c r="I193" i="5"/>
  <c r="J193" i="5"/>
  <c r="K193" i="5"/>
  <c r="L193" i="5"/>
  <c r="M193" i="5"/>
  <c r="N193" i="5"/>
  <c r="O193" i="5"/>
  <c r="P193" i="5"/>
  <c r="Q193" i="5"/>
  <c r="R193" i="5"/>
  <c r="S193" i="5"/>
  <c r="T193" i="5"/>
  <c r="U193" i="5"/>
  <c r="V193" i="5"/>
  <c r="H194" i="5"/>
  <c r="I194" i="5"/>
  <c r="J194" i="5"/>
  <c r="K194" i="5"/>
  <c r="L194" i="5"/>
  <c r="M194" i="5"/>
  <c r="N194" i="5"/>
  <c r="O194" i="5"/>
  <c r="P194" i="5"/>
  <c r="Q194" i="5"/>
  <c r="R194" i="5"/>
  <c r="S194" i="5"/>
  <c r="T194" i="5"/>
  <c r="U194" i="5"/>
  <c r="V194" i="5"/>
  <c r="H195" i="5"/>
  <c r="I195" i="5"/>
  <c r="J195" i="5"/>
  <c r="K195" i="5"/>
  <c r="L195" i="5"/>
  <c r="M195" i="5"/>
  <c r="N195" i="5"/>
  <c r="O195" i="5"/>
  <c r="P195" i="5"/>
  <c r="Q195" i="5"/>
  <c r="R195" i="5"/>
  <c r="S195" i="5"/>
  <c r="T195" i="5"/>
  <c r="U195" i="5"/>
  <c r="V195" i="5"/>
  <c r="H196" i="5"/>
  <c r="I196" i="5"/>
  <c r="J196" i="5"/>
  <c r="K196" i="5"/>
  <c r="L196" i="5"/>
  <c r="M196" i="5"/>
  <c r="N196" i="5"/>
  <c r="O196" i="5"/>
  <c r="P196" i="5"/>
  <c r="Q196" i="5"/>
  <c r="R196" i="5"/>
  <c r="S196" i="5"/>
  <c r="T196" i="5"/>
  <c r="U196" i="5"/>
  <c r="V196" i="5"/>
  <c r="H197" i="5"/>
  <c r="I197" i="5"/>
  <c r="J197" i="5"/>
  <c r="K197" i="5"/>
  <c r="L197" i="5"/>
  <c r="M197" i="5"/>
  <c r="N197" i="5"/>
  <c r="O197" i="5"/>
  <c r="P197" i="5"/>
  <c r="Q197" i="5"/>
  <c r="R197" i="5"/>
  <c r="S197" i="5"/>
  <c r="T197" i="5"/>
  <c r="U197" i="5"/>
  <c r="V197" i="5"/>
  <c r="H198" i="5"/>
  <c r="I198" i="5"/>
  <c r="J198" i="5"/>
  <c r="K198" i="5"/>
  <c r="L198" i="5"/>
  <c r="M198" i="5"/>
  <c r="N198" i="5"/>
  <c r="O198" i="5"/>
  <c r="P198" i="5"/>
  <c r="Q198" i="5"/>
  <c r="R198" i="5"/>
  <c r="S198" i="5"/>
  <c r="T198" i="5"/>
  <c r="U198" i="5"/>
  <c r="V198" i="5"/>
  <c r="H199" i="5"/>
  <c r="I199" i="5"/>
  <c r="J199" i="5"/>
  <c r="K199" i="5"/>
  <c r="L199" i="5"/>
  <c r="M199" i="5"/>
  <c r="N199" i="5"/>
  <c r="O199" i="5"/>
  <c r="P199" i="5"/>
  <c r="Q199" i="5"/>
  <c r="R199" i="5"/>
  <c r="S199" i="5"/>
  <c r="T199" i="5"/>
  <c r="U199" i="5"/>
  <c r="V199" i="5"/>
  <c r="H200" i="5"/>
  <c r="I200" i="5"/>
  <c r="J200" i="5"/>
  <c r="K200" i="5"/>
  <c r="L200" i="5"/>
  <c r="M200" i="5"/>
  <c r="N200" i="5"/>
  <c r="O200" i="5"/>
  <c r="P200" i="5"/>
  <c r="Q200" i="5"/>
  <c r="R200" i="5"/>
  <c r="S200" i="5"/>
  <c r="T200" i="5"/>
  <c r="U200" i="5"/>
  <c r="V200" i="5"/>
  <c r="H201" i="5"/>
  <c r="I201" i="5"/>
  <c r="J201" i="5"/>
  <c r="K201" i="5"/>
  <c r="L201" i="5"/>
  <c r="M201" i="5"/>
  <c r="N201" i="5"/>
  <c r="O201" i="5"/>
  <c r="P201" i="5"/>
  <c r="Q201" i="5"/>
  <c r="R201" i="5"/>
  <c r="S201" i="5"/>
  <c r="T201" i="5"/>
  <c r="U201" i="5"/>
  <c r="V201" i="5"/>
  <c r="H202" i="5"/>
  <c r="I202" i="5"/>
  <c r="J202" i="5"/>
  <c r="K202" i="5"/>
  <c r="L202" i="5"/>
  <c r="M202" i="5"/>
  <c r="N202" i="5"/>
  <c r="O202" i="5"/>
  <c r="P202" i="5"/>
  <c r="Q202" i="5"/>
  <c r="R202" i="5"/>
  <c r="S202" i="5"/>
  <c r="T202" i="5"/>
  <c r="U202" i="5"/>
  <c r="V202" i="5"/>
  <c r="H203" i="5"/>
  <c r="I203" i="5"/>
  <c r="J203" i="5"/>
  <c r="K203" i="5"/>
  <c r="L203" i="5"/>
  <c r="M203" i="5"/>
  <c r="N203" i="5"/>
  <c r="O203" i="5"/>
  <c r="P203" i="5"/>
  <c r="Q203" i="5"/>
  <c r="R203" i="5"/>
  <c r="S203" i="5"/>
  <c r="T203" i="5"/>
  <c r="U203" i="5"/>
  <c r="V203" i="5"/>
  <c r="H204" i="5"/>
  <c r="I204" i="5"/>
  <c r="J204" i="5"/>
  <c r="K204" i="5"/>
  <c r="L204" i="5"/>
  <c r="M204" i="5"/>
  <c r="N204" i="5"/>
  <c r="O204" i="5"/>
  <c r="P204" i="5"/>
  <c r="Q204" i="5"/>
  <c r="R204" i="5"/>
  <c r="S204" i="5"/>
  <c r="T204" i="5"/>
  <c r="U204" i="5"/>
  <c r="V204" i="5"/>
  <c r="H205" i="5"/>
  <c r="I205" i="5"/>
  <c r="J205" i="5"/>
  <c r="K205" i="5"/>
  <c r="L205" i="5"/>
  <c r="M205" i="5"/>
  <c r="N205" i="5"/>
  <c r="O205" i="5"/>
  <c r="P205" i="5"/>
  <c r="Q205" i="5"/>
  <c r="R205" i="5"/>
  <c r="S205" i="5"/>
  <c r="T205" i="5"/>
  <c r="U205" i="5"/>
  <c r="V205" i="5"/>
  <c r="H206" i="5"/>
  <c r="I206" i="5"/>
  <c r="J206" i="5"/>
  <c r="K206" i="5"/>
  <c r="L206" i="5"/>
  <c r="M206" i="5"/>
  <c r="N206" i="5"/>
  <c r="O206" i="5"/>
  <c r="P206" i="5"/>
  <c r="Q206" i="5"/>
  <c r="R206" i="5"/>
  <c r="S206" i="5"/>
  <c r="T206" i="5"/>
  <c r="U206" i="5"/>
  <c r="V206" i="5"/>
  <c r="H207" i="5"/>
  <c r="I207" i="5"/>
  <c r="J207" i="5"/>
  <c r="K207" i="5"/>
  <c r="L207" i="5"/>
  <c r="M207" i="5"/>
  <c r="N207" i="5"/>
  <c r="O207" i="5"/>
  <c r="P207" i="5"/>
  <c r="Q207" i="5"/>
  <c r="R207" i="5"/>
  <c r="S207" i="5"/>
  <c r="T207" i="5"/>
  <c r="U207" i="5"/>
  <c r="V207" i="5"/>
  <c r="H208" i="5"/>
  <c r="I208" i="5"/>
  <c r="J208" i="5"/>
  <c r="K208" i="5"/>
  <c r="L208" i="5"/>
  <c r="M208" i="5"/>
  <c r="N208" i="5"/>
  <c r="O208" i="5"/>
  <c r="P208" i="5"/>
  <c r="Q208" i="5"/>
  <c r="R208" i="5"/>
  <c r="S208" i="5"/>
  <c r="T208" i="5"/>
  <c r="U208" i="5"/>
  <c r="V208" i="5"/>
  <c r="H209" i="5"/>
  <c r="I209" i="5"/>
  <c r="J209" i="5"/>
  <c r="K209" i="5"/>
  <c r="L209" i="5"/>
  <c r="M209" i="5"/>
  <c r="N209" i="5"/>
  <c r="O209" i="5"/>
  <c r="P209" i="5"/>
  <c r="Q209" i="5"/>
  <c r="R209" i="5"/>
  <c r="S209" i="5"/>
  <c r="T209" i="5"/>
  <c r="U209" i="5"/>
  <c r="V209" i="5"/>
  <c r="H210" i="5"/>
  <c r="I210" i="5"/>
  <c r="J210" i="5"/>
  <c r="K210" i="5"/>
  <c r="L210" i="5"/>
  <c r="M210" i="5"/>
  <c r="N210" i="5"/>
  <c r="O210" i="5"/>
  <c r="P210" i="5"/>
  <c r="Q210" i="5"/>
  <c r="R210" i="5"/>
  <c r="S210" i="5"/>
  <c r="T210" i="5"/>
  <c r="U210" i="5"/>
  <c r="V210" i="5"/>
  <c r="H211" i="5"/>
  <c r="I211" i="5"/>
  <c r="J211" i="5"/>
  <c r="K211" i="5"/>
  <c r="L211" i="5"/>
  <c r="M211" i="5"/>
  <c r="N211" i="5"/>
  <c r="O211" i="5"/>
  <c r="P211" i="5"/>
  <c r="Q211" i="5"/>
  <c r="R211" i="5"/>
  <c r="S211" i="5"/>
  <c r="T211" i="5"/>
  <c r="U211" i="5"/>
  <c r="V211" i="5"/>
  <c r="H212" i="5"/>
  <c r="I212" i="5"/>
  <c r="J212" i="5"/>
  <c r="K212" i="5"/>
  <c r="L212" i="5"/>
  <c r="M212" i="5"/>
  <c r="N212" i="5"/>
  <c r="O212" i="5"/>
  <c r="P212" i="5"/>
  <c r="Q212" i="5"/>
  <c r="R212" i="5"/>
  <c r="S212" i="5"/>
  <c r="T212" i="5"/>
  <c r="U212" i="5"/>
  <c r="V212" i="5"/>
  <c r="H213" i="5"/>
  <c r="I213" i="5"/>
  <c r="J213" i="5"/>
  <c r="K213" i="5"/>
  <c r="L213" i="5"/>
  <c r="M213" i="5"/>
  <c r="N213" i="5"/>
  <c r="O213" i="5"/>
  <c r="P213" i="5"/>
  <c r="Q213" i="5"/>
  <c r="R213" i="5"/>
  <c r="S213" i="5"/>
  <c r="T213" i="5"/>
  <c r="U213" i="5"/>
  <c r="V213" i="5"/>
  <c r="H214" i="5"/>
  <c r="I214" i="5"/>
  <c r="J214" i="5"/>
  <c r="K214" i="5"/>
  <c r="L214" i="5"/>
  <c r="M214" i="5"/>
  <c r="N214" i="5"/>
  <c r="O214" i="5"/>
  <c r="P214" i="5"/>
  <c r="Q214" i="5"/>
  <c r="R214" i="5"/>
  <c r="S214" i="5"/>
  <c r="T214" i="5"/>
  <c r="U214" i="5"/>
  <c r="V214" i="5"/>
  <c r="H215" i="5"/>
  <c r="I215" i="5"/>
  <c r="J215" i="5"/>
  <c r="K215" i="5"/>
  <c r="L215" i="5"/>
  <c r="M215" i="5"/>
  <c r="N215" i="5"/>
  <c r="O215" i="5"/>
  <c r="P215" i="5"/>
  <c r="Q215" i="5"/>
  <c r="R215" i="5"/>
  <c r="S215" i="5"/>
  <c r="T215" i="5"/>
  <c r="U215" i="5"/>
  <c r="V215" i="5"/>
  <c r="H216" i="5"/>
  <c r="I216" i="5"/>
  <c r="J216" i="5"/>
  <c r="K216" i="5"/>
  <c r="L216" i="5"/>
  <c r="M216" i="5"/>
  <c r="N216" i="5"/>
  <c r="O216" i="5"/>
  <c r="P216" i="5"/>
  <c r="Q216" i="5"/>
  <c r="R216" i="5"/>
  <c r="S216" i="5"/>
  <c r="T216" i="5"/>
  <c r="U216" i="5"/>
  <c r="V216" i="5"/>
  <c r="H217" i="5"/>
  <c r="I217" i="5"/>
  <c r="J217" i="5"/>
  <c r="K217" i="5"/>
  <c r="L217" i="5"/>
  <c r="M217" i="5"/>
  <c r="N217" i="5"/>
  <c r="O217" i="5"/>
  <c r="P217" i="5"/>
  <c r="Q217" i="5"/>
  <c r="R217" i="5"/>
  <c r="S217" i="5"/>
  <c r="T217" i="5"/>
  <c r="U217" i="5"/>
  <c r="V217" i="5"/>
  <c r="H218" i="5"/>
  <c r="I218" i="5"/>
  <c r="J218" i="5"/>
  <c r="K218" i="5"/>
  <c r="L218" i="5"/>
  <c r="M218" i="5"/>
  <c r="N218" i="5"/>
  <c r="O218" i="5"/>
  <c r="P218" i="5"/>
  <c r="Q218" i="5"/>
  <c r="R218" i="5"/>
  <c r="S218" i="5"/>
  <c r="T218" i="5"/>
  <c r="U218" i="5"/>
  <c r="V218" i="5"/>
  <c r="H219" i="5"/>
  <c r="I219" i="5"/>
  <c r="J219" i="5"/>
  <c r="K219" i="5"/>
  <c r="L219" i="5"/>
  <c r="M219" i="5"/>
  <c r="N219" i="5"/>
  <c r="O219" i="5"/>
  <c r="P219" i="5"/>
  <c r="Q219" i="5"/>
  <c r="R219" i="5"/>
  <c r="S219" i="5"/>
  <c r="T219" i="5"/>
  <c r="U219" i="5"/>
  <c r="V219" i="5"/>
  <c r="H220" i="5"/>
  <c r="I220" i="5"/>
  <c r="J220" i="5"/>
  <c r="K220" i="5"/>
  <c r="L220" i="5"/>
  <c r="M220" i="5"/>
  <c r="N220" i="5"/>
  <c r="O220" i="5"/>
  <c r="P220" i="5"/>
  <c r="Q220" i="5"/>
  <c r="R220" i="5"/>
  <c r="S220" i="5"/>
  <c r="T220" i="5"/>
  <c r="U220" i="5"/>
  <c r="V220" i="5"/>
  <c r="H221" i="5"/>
  <c r="I221" i="5"/>
  <c r="J221" i="5"/>
  <c r="K221" i="5"/>
  <c r="L221" i="5"/>
  <c r="M221" i="5"/>
  <c r="N221" i="5"/>
  <c r="O221" i="5"/>
  <c r="P221" i="5"/>
  <c r="Q221" i="5"/>
  <c r="R221" i="5"/>
  <c r="S221" i="5"/>
  <c r="T221" i="5"/>
  <c r="U221" i="5"/>
  <c r="V221" i="5"/>
  <c r="H222" i="5"/>
  <c r="I222" i="5"/>
  <c r="J222" i="5"/>
  <c r="K222" i="5"/>
  <c r="L222" i="5"/>
  <c r="M222" i="5"/>
  <c r="N222" i="5"/>
  <c r="O222" i="5"/>
  <c r="P222" i="5"/>
  <c r="Q222" i="5"/>
  <c r="R222" i="5"/>
  <c r="S222" i="5"/>
  <c r="T222" i="5"/>
  <c r="U222" i="5"/>
  <c r="V222" i="5"/>
  <c r="H223" i="5"/>
  <c r="I223" i="5"/>
  <c r="J223" i="5"/>
  <c r="K223" i="5"/>
  <c r="L223" i="5"/>
  <c r="M223" i="5"/>
  <c r="N223" i="5"/>
  <c r="O223" i="5"/>
  <c r="P223" i="5"/>
  <c r="Q223" i="5"/>
  <c r="R223" i="5"/>
  <c r="S223" i="5"/>
  <c r="T223" i="5"/>
  <c r="U223" i="5"/>
  <c r="V223" i="5"/>
  <c r="H224" i="5"/>
  <c r="I224" i="5"/>
  <c r="J224" i="5"/>
  <c r="K224" i="5"/>
  <c r="L224" i="5"/>
  <c r="M224" i="5"/>
  <c r="N224" i="5"/>
  <c r="O224" i="5"/>
  <c r="P224" i="5"/>
  <c r="Q224" i="5"/>
  <c r="R224" i="5"/>
  <c r="S224" i="5"/>
  <c r="T224" i="5"/>
  <c r="U224" i="5"/>
  <c r="V224" i="5"/>
  <c r="H225" i="5"/>
  <c r="I225" i="5"/>
  <c r="J225" i="5"/>
  <c r="K225" i="5"/>
  <c r="L225" i="5"/>
  <c r="M225" i="5"/>
  <c r="N225" i="5"/>
  <c r="O225" i="5"/>
  <c r="P225" i="5"/>
  <c r="Q225" i="5"/>
  <c r="R225" i="5"/>
  <c r="S225" i="5"/>
  <c r="T225" i="5"/>
  <c r="U225" i="5"/>
  <c r="V225" i="5"/>
  <c r="H226" i="5"/>
  <c r="I226" i="5"/>
  <c r="J226" i="5"/>
  <c r="K226" i="5"/>
  <c r="L226" i="5"/>
  <c r="M226" i="5"/>
  <c r="N226" i="5"/>
  <c r="O226" i="5"/>
  <c r="P226" i="5"/>
  <c r="Q226" i="5"/>
  <c r="R226" i="5"/>
  <c r="S226" i="5"/>
  <c r="T226" i="5"/>
  <c r="U226" i="5"/>
  <c r="V226" i="5"/>
  <c r="H227" i="5"/>
  <c r="I227" i="5"/>
  <c r="J227" i="5"/>
  <c r="K227" i="5"/>
  <c r="L227" i="5"/>
  <c r="M227" i="5"/>
  <c r="N227" i="5"/>
  <c r="O227" i="5"/>
  <c r="P227" i="5"/>
  <c r="Q227" i="5"/>
  <c r="R227" i="5"/>
  <c r="S227" i="5"/>
  <c r="T227" i="5"/>
  <c r="U227" i="5"/>
  <c r="V227" i="5"/>
  <c r="H228" i="5"/>
  <c r="I228" i="5"/>
  <c r="J228" i="5"/>
  <c r="K228" i="5"/>
  <c r="L228" i="5"/>
  <c r="M228" i="5"/>
  <c r="N228" i="5"/>
  <c r="O228" i="5"/>
  <c r="P228" i="5"/>
  <c r="Q228" i="5"/>
  <c r="R228" i="5"/>
  <c r="S228" i="5"/>
  <c r="T228" i="5"/>
  <c r="U228" i="5"/>
  <c r="V228" i="5"/>
  <c r="H229" i="5"/>
  <c r="I229" i="5"/>
  <c r="J229" i="5"/>
  <c r="K229" i="5"/>
  <c r="L229" i="5"/>
  <c r="M229" i="5"/>
  <c r="N229" i="5"/>
  <c r="O229" i="5"/>
  <c r="P229" i="5"/>
  <c r="Q229" i="5"/>
  <c r="R229" i="5"/>
  <c r="S229" i="5"/>
  <c r="T229" i="5"/>
  <c r="U229" i="5"/>
  <c r="V229" i="5"/>
  <c r="H230" i="5"/>
  <c r="I230" i="5"/>
  <c r="J230" i="5"/>
  <c r="K230" i="5"/>
  <c r="L230" i="5"/>
  <c r="M230" i="5"/>
  <c r="N230" i="5"/>
  <c r="O230" i="5"/>
  <c r="P230" i="5"/>
  <c r="Q230" i="5"/>
  <c r="R230" i="5"/>
  <c r="S230" i="5"/>
  <c r="T230" i="5"/>
  <c r="U230" i="5"/>
  <c r="V230" i="5"/>
  <c r="H231" i="5"/>
  <c r="I231" i="5"/>
  <c r="J231" i="5"/>
  <c r="K231" i="5"/>
  <c r="L231" i="5"/>
  <c r="M231" i="5"/>
  <c r="N231" i="5"/>
  <c r="O231" i="5"/>
  <c r="P231" i="5"/>
  <c r="Q231" i="5"/>
  <c r="R231" i="5"/>
  <c r="S231" i="5"/>
  <c r="T231" i="5"/>
  <c r="U231" i="5"/>
  <c r="V231" i="5"/>
  <c r="H232" i="5"/>
  <c r="I232" i="5"/>
  <c r="J232" i="5"/>
  <c r="K232" i="5"/>
  <c r="L232" i="5"/>
  <c r="M232" i="5"/>
  <c r="N232" i="5"/>
  <c r="O232" i="5"/>
  <c r="P232" i="5"/>
  <c r="Q232" i="5"/>
  <c r="R232" i="5"/>
  <c r="S232" i="5"/>
  <c r="T232" i="5"/>
  <c r="U232" i="5"/>
  <c r="V232" i="5"/>
  <c r="H233" i="5"/>
  <c r="I233" i="5"/>
  <c r="J233" i="5"/>
  <c r="K233" i="5"/>
  <c r="L233" i="5"/>
  <c r="M233" i="5"/>
  <c r="N233" i="5"/>
  <c r="O233" i="5"/>
  <c r="P233" i="5"/>
  <c r="Q233" i="5"/>
  <c r="R233" i="5"/>
  <c r="S233" i="5"/>
  <c r="T233" i="5"/>
  <c r="U233" i="5"/>
  <c r="V233" i="5"/>
  <c r="H234" i="5"/>
  <c r="I234" i="5"/>
  <c r="J234" i="5"/>
  <c r="K234" i="5"/>
  <c r="L234" i="5"/>
  <c r="M234" i="5"/>
  <c r="N234" i="5"/>
  <c r="O234" i="5"/>
  <c r="P234" i="5"/>
  <c r="Q234" i="5"/>
  <c r="R234" i="5"/>
  <c r="S234" i="5"/>
  <c r="T234" i="5"/>
  <c r="U234" i="5"/>
  <c r="V234" i="5"/>
  <c r="H235" i="5"/>
  <c r="I235" i="5"/>
  <c r="J235" i="5"/>
  <c r="K235" i="5"/>
  <c r="L235" i="5"/>
  <c r="M235" i="5"/>
  <c r="N235" i="5"/>
  <c r="O235" i="5"/>
  <c r="P235" i="5"/>
  <c r="Q235" i="5"/>
  <c r="R235" i="5"/>
  <c r="S235" i="5"/>
  <c r="T235" i="5"/>
  <c r="U235" i="5"/>
  <c r="V235" i="5"/>
  <c r="H236" i="5"/>
  <c r="I236" i="5"/>
  <c r="J236" i="5"/>
  <c r="K236" i="5"/>
  <c r="L236" i="5"/>
  <c r="M236" i="5"/>
  <c r="N236" i="5"/>
  <c r="O236" i="5"/>
  <c r="P236" i="5"/>
  <c r="Q236" i="5"/>
  <c r="R236" i="5"/>
  <c r="S236" i="5"/>
  <c r="T236" i="5"/>
  <c r="U236" i="5"/>
  <c r="V236" i="5"/>
  <c r="H237" i="5"/>
  <c r="I237" i="5"/>
  <c r="J237" i="5"/>
  <c r="K237" i="5"/>
  <c r="L237" i="5"/>
  <c r="M237" i="5"/>
  <c r="N237" i="5"/>
  <c r="O237" i="5"/>
  <c r="P237" i="5"/>
  <c r="Q237" i="5"/>
  <c r="R237" i="5"/>
  <c r="S237" i="5"/>
  <c r="T237" i="5"/>
  <c r="U237" i="5"/>
  <c r="V237" i="5"/>
  <c r="H238" i="5"/>
  <c r="I238" i="5"/>
  <c r="J238" i="5"/>
  <c r="K238" i="5"/>
  <c r="L238" i="5"/>
  <c r="M238" i="5"/>
  <c r="N238" i="5"/>
  <c r="O238" i="5"/>
  <c r="P238" i="5"/>
  <c r="Q238" i="5"/>
  <c r="R238" i="5"/>
  <c r="S238" i="5"/>
  <c r="T238" i="5"/>
  <c r="U238" i="5"/>
  <c r="V238" i="5"/>
  <c r="H239" i="5"/>
  <c r="I239" i="5"/>
  <c r="J239" i="5"/>
  <c r="K239" i="5"/>
  <c r="L239" i="5"/>
  <c r="M239" i="5"/>
  <c r="N239" i="5"/>
  <c r="O239" i="5"/>
  <c r="P239" i="5"/>
  <c r="Q239" i="5"/>
  <c r="R239" i="5"/>
  <c r="S239" i="5"/>
  <c r="T239" i="5"/>
  <c r="U239" i="5"/>
  <c r="V239" i="5"/>
  <c r="H240" i="5"/>
  <c r="I240" i="5"/>
  <c r="J240" i="5"/>
  <c r="K240" i="5"/>
  <c r="L240" i="5"/>
  <c r="M240" i="5"/>
  <c r="N240" i="5"/>
  <c r="O240" i="5"/>
  <c r="P240" i="5"/>
  <c r="Q240" i="5"/>
  <c r="R240" i="5"/>
  <c r="S240" i="5"/>
  <c r="T240" i="5"/>
  <c r="U240" i="5"/>
  <c r="V240" i="5"/>
  <c r="H241" i="5"/>
  <c r="I241" i="5"/>
  <c r="J241" i="5"/>
  <c r="K241" i="5"/>
  <c r="L241" i="5"/>
  <c r="M241" i="5"/>
  <c r="N241" i="5"/>
  <c r="O241" i="5"/>
  <c r="P241" i="5"/>
  <c r="Q241" i="5"/>
  <c r="R241" i="5"/>
  <c r="S241" i="5"/>
  <c r="T241" i="5"/>
  <c r="U241" i="5"/>
  <c r="V241" i="5"/>
  <c r="H242" i="5"/>
  <c r="I242" i="5"/>
  <c r="J242" i="5"/>
  <c r="K242" i="5"/>
  <c r="L242" i="5"/>
  <c r="M242" i="5"/>
  <c r="N242" i="5"/>
  <c r="O242" i="5"/>
  <c r="P242" i="5"/>
  <c r="Q242" i="5"/>
  <c r="R242" i="5"/>
  <c r="S242" i="5"/>
  <c r="T242" i="5"/>
  <c r="U242" i="5"/>
  <c r="V242" i="5"/>
  <c r="H243" i="5"/>
  <c r="I243" i="5"/>
  <c r="J243" i="5"/>
  <c r="K243" i="5"/>
  <c r="L243" i="5"/>
  <c r="M243" i="5"/>
  <c r="N243" i="5"/>
  <c r="O243" i="5"/>
  <c r="P243" i="5"/>
  <c r="Q243" i="5"/>
  <c r="R243" i="5"/>
  <c r="S243" i="5"/>
  <c r="T243" i="5"/>
  <c r="U243" i="5"/>
  <c r="V243" i="5"/>
  <c r="H244" i="5"/>
  <c r="I244" i="5"/>
  <c r="J244" i="5"/>
  <c r="K244" i="5"/>
  <c r="L244" i="5"/>
  <c r="M244" i="5"/>
  <c r="N244" i="5"/>
  <c r="O244" i="5"/>
  <c r="P244" i="5"/>
  <c r="Q244" i="5"/>
  <c r="R244" i="5"/>
  <c r="S244" i="5"/>
  <c r="T244" i="5"/>
  <c r="U244" i="5"/>
  <c r="V244" i="5"/>
  <c r="H245" i="5"/>
  <c r="I245" i="5"/>
  <c r="J245" i="5"/>
  <c r="K245" i="5"/>
  <c r="L245" i="5"/>
  <c r="M245" i="5"/>
  <c r="N245" i="5"/>
  <c r="O245" i="5"/>
  <c r="P245" i="5"/>
  <c r="Q245" i="5"/>
  <c r="R245" i="5"/>
  <c r="S245" i="5"/>
  <c r="T245" i="5"/>
  <c r="U245" i="5"/>
  <c r="V245" i="5"/>
  <c r="H246" i="5"/>
  <c r="I246" i="5"/>
  <c r="J246" i="5"/>
  <c r="K246" i="5"/>
  <c r="L246" i="5"/>
  <c r="M246" i="5"/>
  <c r="N246" i="5"/>
  <c r="O246" i="5"/>
  <c r="P246" i="5"/>
  <c r="Q246" i="5"/>
  <c r="R246" i="5"/>
  <c r="S246" i="5"/>
  <c r="T246" i="5"/>
  <c r="U246" i="5"/>
  <c r="V246" i="5"/>
  <c r="H247" i="5"/>
  <c r="I247" i="5"/>
  <c r="J247" i="5"/>
  <c r="K247" i="5"/>
  <c r="L247" i="5"/>
  <c r="M247" i="5"/>
  <c r="N247" i="5"/>
  <c r="O247" i="5"/>
  <c r="P247" i="5"/>
  <c r="Q247" i="5"/>
  <c r="R247" i="5"/>
  <c r="S247" i="5"/>
  <c r="T247" i="5"/>
  <c r="U247" i="5"/>
  <c r="V247" i="5"/>
  <c r="H248" i="5"/>
  <c r="I248" i="5"/>
  <c r="J248" i="5"/>
  <c r="K248" i="5"/>
  <c r="L248" i="5"/>
  <c r="M248" i="5"/>
  <c r="N248" i="5"/>
  <c r="O248" i="5"/>
  <c r="P248" i="5"/>
  <c r="Q248" i="5"/>
  <c r="R248" i="5"/>
  <c r="S248" i="5"/>
  <c r="T248" i="5"/>
  <c r="U248" i="5"/>
  <c r="V248" i="5"/>
  <c r="H249" i="5"/>
  <c r="I249" i="5"/>
  <c r="J249" i="5"/>
  <c r="K249" i="5"/>
  <c r="L249" i="5"/>
  <c r="M249" i="5"/>
  <c r="N249" i="5"/>
  <c r="O249" i="5"/>
  <c r="P249" i="5"/>
  <c r="Q249" i="5"/>
  <c r="R249" i="5"/>
  <c r="S249" i="5"/>
  <c r="T249" i="5"/>
  <c r="U249" i="5"/>
  <c r="V249" i="5"/>
  <c r="H250" i="5"/>
  <c r="I250" i="5"/>
  <c r="J250" i="5"/>
  <c r="K250" i="5"/>
  <c r="L250" i="5"/>
  <c r="M250" i="5"/>
  <c r="N250" i="5"/>
  <c r="O250" i="5"/>
  <c r="P250" i="5"/>
  <c r="Q250" i="5"/>
  <c r="R250" i="5"/>
  <c r="S250" i="5"/>
  <c r="T250" i="5"/>
  <c r="U250" i="5"/>
  <c r="V250" i="5"/>
  <c r="H251" i="5"/>
  <c r="I251" i="5"/>
  <c r="J251" i="5"/>
  <c r="K251" i="5"/>
  <c r="L251" i="5"/>
  <c r="M251" i="5"/>
  <c r="N251" i="5"/>
  <c r="O251" i="5"/>
  <c r="P251" i="5"/>
  <c r="Q251" i="5"/>
  <c r="R251" i="5"/>
  <c r="S251" i="5"/>
  <c r="T251" i="5"/>
  <c r="U251" i="5"/>
  <c r="V251" i="5"/>
  <c r="H252" i="5"/>
  <c r="I252" i="5"/>
  <c r="J252" i="5"/>
  <c r="K252" i="5"/>
  <c r="L252" i="5"/>
  <c r="M252" i="5"/>
  <c r="N252" i="5"/>
  <c r="O252" i="5"/>
  <c r="P252" i="5"/>
  <c r="Q252" i="5"/>
  <c r="R252" i="5"/>
  <c r="S252" i="5"/>
  <c r="T252" i="5"/>
  <c r="U252" i="5"/>
  <c r="V252" i="5"/>
  <c r="H253" i="5"/>
  <c r="I253" i="5"/>
  <c r="J253" i="5"/>
  <c r="K253" i="5"/>
  <c r="L253" i="5"/>
  <c r="M253" i="5"/>
  <c r="N253" i="5"/>
  <c r="O253" i="5"/>
  <c r="P253" i="5"/>
  <c r="Q253" i="5"/>
  <c r="R253" i="5"/>
  <c r="S253" i="5"/>
  <c r="T253" i="5"/>
  <c r="U253" i="5"/>
  <c r="V253" i="5"/>
  <c r="H254" i="5"/>
  <c r="I254" i="5"/>
  <c r="J254" i="5"/>
  <c r="K254" i="5"/>
  <c r="L254" i="5"/>
  <c r="M254" i="5"/>
  <c r="N254" i="5"/>
  <c r="O254" i="5"/>
  <c r="P254" i="5"/>
  <c r="Q254" i="5"/>
  <c r="R254" i="5"/>
  <c r="S254" i="5"/>
  <c r="T254" i="5"/>
  <c r="U254" i="5"/>
  <c r="V254" i="5"/>
  <c r="H255" i="5"/>
  <c r="I255" i="5"/>
  <c r="J255" i="5"/>
  <c r="K255" i="5"/>
  <c r="L255" i="5"/>
  <c r="M255" i="5"/>
  <c r="N255" i="5"/>
  <c r="O255" i="5"/>
  <c r="P255" i="5"/>
  <c r="Q255" i="5"/>
  <c r="R255" i="5"/>
  <c r="S255" i="5"/>
  <c r="T255" i="5"/>
  <c r="U255" i="5"/>
  <c r="V255" i="5"/>
  <c r="H256" i="5"/>
  <c r="I256" i="5"/>
  <c r="J256" i="5"/>
  <c r="K256" i="5"/>
  <c r="L256" i="5"/>
  <c r="M256" i="5"/>
  <c r="N256" i="5"/>
  <c r="O256" i="5"/>
  <c r="P256" i="5"/>
  <c r="Q256" i="5"/>
  <c r="R256" i="5"/>
  <c r="S256" i="5"/>
  <c r="T256" i="5"/>
  <c r="U256" i="5"/>
  <c r="V256" i="5"/>
  <c r="H257" i="5"/>
  <c r="I257" i="5"/>
  <c r="J257" i="5"/>
  <c r="K257" i="5"/>
  <c r="L257" i="5"/>
  <c r="M257" i="5"/>
  <c r="N257" i="5"/>
  <c r="O257" i="5"/>
  <c r="P257" i="5"/>
  <c r="Q257" i="5"/>
  <c r="R257" i="5"/>
  <c r="S257" i="5"/>
  <c r="T257" i="5"/>
  <c r="U257" i="5"/>
  <c r="V257" i="5"/>
  <c r="H258" i="5"/>
  <c r="I258" i="5"/>
  <c r="J258" i="5"/>
  <c r="K258" i="5"/>
  <c r="L258" i="5"/>
  <c r="M258" i="5"/>
  <c r="N258" i="5"/>
  <c r="O258" i="5"/>
  <c r="P258" i="5"/>
  <c r="Q258" i="5"/>
  <c r="R258" i="5"/>
  <c r="S258" i="5"/>
  <c r="T258" i="5"/>
  <c r="U258" i="5"/>
  <c r="V258" i="5"/>
  <c r="H259" i="5"/>
  <c r="I259" i="5"/>
  <c r="J259" i="5"/>
  <c r="K259" i="5"/>
  <c r="L259" i="5"/>
  <c r="M259" i="5"/>
  <c r="N259" i="5"/>
  <c r="O259" i="5"/>
  <c r="P259" i="5"/>
  <c r="Q259" i="5"/>
  <c r="R259" i="5"/>
  <c r="S259" i="5"/>
  <c r="T259" i="5"/>
  <c r="U259" i="5"/>
  <c r="V259" i="5"/>
  <c r="H260" i="5"/>
  <c r="I260" i="5"/>
  <c r="J260" i="5"/>
  <c r="K260" i="5"/>
  <c r="L260" i="5"/>
  <c r="M260" i="5"/>
  <c r="N260" i="5"/>
  <c r="O260" i="5"/>
  <c r="P260" i="5"/>
  <c r="Q260" i="5"/>
  <c r="R260" i="5"/>
  <c r="S260" i="5"/>
  <c r="T260" i="5"/>
  <c r="U260" i="5"/>
  <c r="V260" i="5"/>
  <c r="H261" i="5"/>
  <c r="I261" i="5"/>
  <c r="J261" i="5"/>
  <c r="K261" i="5"/>
  <c r="L261" i="5"/>
  <c r="M261" i="5"/>
  <c r="N261" i="5"/>
  <c r="O261" i="5"/>
  <c r="P261" i="5"/>
  <c r="Q261" i="5"/>
  <c r="R261" i="5"/>
  <c r="S261" i="5"/>
  <c r="T261" i="5"/>
  <c r="U261" i="5"/>
  <c r="V261" i="5"/>
  <c r="H262" i="5"/>
  <c r="I262" i="5"/>
  <c r="J262" i="5"/>
  <c r="K262" i="5"/>
  <c r="L262" i="5"/>
  <c r="M262" i="5"/>
  <c r="N262" i="5"/>
  <c r="O262" i="5"/>
  <c r="P262" i="5"/>
  <c r="Q262" i="5"/>
  <c r="R262" i="5"/>
  <c r="S262" i="5"/>
  <c r="T262" i="5"/>
  <c r="U262" i="5"/>
  <c r="V262" i="5"/>
  <c r="H263" i="5"/>
  <c r="I263" i="5"/>
  <c r="J263" i="5"/>
  <c r="K263" i="5"/>
  <c r="L263" i="5"/>
  <c r="M263" i="5"/>
  <c r="N263" i="5"/>
  <c r="O263" i="5"/>
  <c r="P263" i="5"/>
  <c r="Q263" i="5"/>
  <c r="R263" i="5"/>
  <c r="S263" i="5"/>
  <c r="T263" i="5"/>
  <c r="U263" i="5"/>
  <c r="V263" i="5"/>
  <c r="H264" i="5"/>
  <c r="I264" i="5"/>
  <c r="J264" i="5"/>
  <c r="K264" i="5"/>
  <c r="L264" i="5"/>
  <c r="M264" i="5"/>
  <c r="N264" i="5"/>
  <c r="O264" i="5"/>
  <c r="P264" i="5"/>
  <c r="Q264" i="5"/>
  <c r="R264" i="5"/>
  <c r="S264" i="5"/>
  <c r="T264" i="5"/>
  <c r="U264" i="5"/>
  <c r="V264" i="5"/>
  <c r="H265" i="5"/>
  <c r="I265" i="5"/>
  <c r="J265" i="5"/>
  <c r="K265" i="5"/>
  <c r="L265" i="5"/>
  <c r="M265" i="5"/>
  <c r="N265" i="5"/>
  <c r="O265" i="5"/>
  <c r="P265" i="5"/>
  <c r="Q265" i="5"/>
  <c r="R265" i="5"/>
  <c r="S265" i="5"/>
  <c r="T265" i="5"/>
  <c r="U265" i="5"/>
  <c r="V265" i="5"/>
  <c r="H266" i="5"/>
  <c r="I266" i="5"/>
  <c r="J266" i="5"/>
  <c r="K266" i="5"/>
  <c r="L266" i="5"/>
  <c r="M266" i="5"/>
  <c r="N266" i="5"/>
  <c r="O266" i="5"/>
  <c r="P266" i="5"/>
  <c r="Q266" i="5"/>
  <c r="R266" i="5"/>
  <c r="S266" i="5"/>
  <c r="T266" i="5"/>
  <c r="U266" i="5"/>
  <c r="V266" i="5"/>
  <c r="H267" i="5"/>
  <c r="I267" i="5"/>
  <c r="J267" i="5"/>
  <c r="K267" i="5"/>
  <c r="L267" i="5"/>
  <c r="M267" i="5"/>
  <c r="N267" i="5"/>
  <c r="O267" i="5"/>
  <c r="P267" i="5"/>
  <c r="Q267" i="5"/>
  <c r="R267" i="5"/>
  <c r="S267" i="5"/>
  <c r="T267" i="5"/>
  <c r="U267" i="5"/>
  <c r="V267" i="5"/>
  <c r="H268" i="5"/>
  <c r="I268" i="5"/>
  <c r="J268" i="5"/>
  <c r="K268" i="5"/>
  <c r="L268" i="5"/>
  <c r="M268" i="5"/>
  <c r="N268" i="5"/>
  <c r="O268" i="5"/>
  <c r="P268" i="5"/>
  <c r="Q268" i="5"/>
  <c r="R268" i="5"/>
  <c r="S268" i="5"/>
  <c r="T268" i="5"/>
  <c r="U268" i="5"/>
  <c r="V268" i="5"/>
  <c r="H269" i="5"/>
  <c r="I269" i="5"/>
  <c r="J269" i="5"/>
  <c r="K269" i="5"/>
  <c r="L269" i="5"/>
  <c r="M269" i="5"/>
  <c r="N269" i="5"/>
  <c r="O269" i="5"/>
  <c r="P269" i="5"/>
  <c r="Q269" i="5"/>
  <c r="R269" i="5"/>
  <c r="S269" i="5"/>
  <c r="T269" i="5"/>
  <c r="U269" i="5"/>
  <c r="V269" i="5"/>
  <c r="H270" i="5"/>
  <c r="I270" i="5"/>
  <c r="J270" i="5"/>
  <c r="K270" i="5"/>
  <c r="L270" i="5"/>
  <c r="M270" i="5"/>
  <c r="N270" i="5"/>
  <c r="O270" i="5"/>
  <c r="P270" i="5"/>
  <c r="Q270" i="5"/>
  <c r="R270" i="5"/>
  <c r="S270" i="5"/>
  <c r="T270" i="5"/>
  <c r="U270" i="5"/>
  <c r="V270" i="5"/>
  <c r="H271" i="5"/>
  <c r="I271" i="5"/>
  <c r="J271" i="5"/>
  <c r="K271" i="5"/>
  <c r="L271" i="5"/>
  <c r="M271" i="5"/>
  <c r="N271" i="5"/>
  <c r="O271" i="5"/>
  <c r="P271" i="5"/>
  <c r="Q271" i="5"/>
  <c r="R271" i="5"/>
  <c r="S271" i="5"/>
  <c r="T271" i="5"/>
  <c r="U271" i="5"/>
  <c r="V271" i="5"/>
  <c r="H272" i="5"/>
  <c r="I272" i="5"/>
  <c r="J272" i="5"/>
  <c r="K272" i="5"/>
  <c r="L272" i="5"/>
  <c r="M272" i="5"/>
  <c r="N272" i="5"/>
  <c r="O272" i="5"/>
  <c r="P272" i="5"/>
  <c r="Q272" i="5"/>
  <c r="R272" i="5"/>
  <c r="S272" i="5"/>
  <c r="T272" i="5"/>
  <c r="U272" i="5"/>
  <c r="V272" i="5"/>
  <c r="H273" i="5"/>
  <c r="I273" i="5"/>
  <c r="J273" i="5"/>
  <c r="K273" i="5"/>
  <c r="L273" i="5"/>
  <c r="M273" i="5"/>
  <c r="N273" i="5"/>
  <c r="O273" i="5"/>
  <c r="P273" i="5"/>
  <c r="Q273" i="5"/>
  <c r="R273" i="5"/>
  <c r="S273" i="5"/>
  <c r="T273" i="5"/>
  <c r="U273" i="5"/>
  <c r="V273" i="5"/>
  <c r="H274" i="5"/>
  <c r="I274" i="5"/>
  <c r="J274" i="5"/>
  <c r="K274" i="5"/>
  <c r="L274" i="5"/>
  <c r="M274" i="5"/>
  <c r="N274" i="5"/>
  <c r="O274" i="5"/>
  <c r="P274" i="5"/>
  <c r="Q274" i="5"/>
  <c r="R274" i="5"/>
  <c r="S274" i="5"/>
  <c r="T274" i="5"/>
  <c r="U274" i="5"/>
  <c r="V274" i="5"/>
  <c r="H275" i="5"/>
  <c r="I275" i="5"/>
  <c r="J275" i="5"/>
  <c r="K275" i="5"/>
  <c r="L275" i="5"/>
  <c r="M275" i="5"/>
  <c r="N275" i="5"/>
  <c r="O275" i="5"/>
  <c r="P275" i="5"/>
  <c r="Q275" i="5"/>
  <c r="R275" i="5"/>
  <c r="S275" i="5"/>
  <c r="T275" i="5"/>
  <c r="U275" i="5"/>
  <c r="V275" i="5"/>
  <c r="H276" i="5"/>
  <c r="I276" i="5"/>
  <c r="J276" i="5"/>
  <c r="K276" i="5"/>
  <c r="L276" i="5"/>
  <c r="M276" i="5"/>
  <c r="N276" i="5"/>
  <c r="O276" i="5"/>
  <c r="P276" i="5"/>
  <c r="Q276" i="5"/>
  <c r="R276" i="5"/>
  <c r="S276" i="5"/>
  <c r="T276" i="5"/>
  <c r="U276" i="5"/>
  <c r="V276" i="5"/>
  <c r="H277" i="5"/>
  <c r="I277" i="5"/>
  <c r="J277" i="5"/>
  <c r="K277" i="5"/>
  <c r="L277" i="5"/>
  <c r="M277" i="5"/>
  <c r="N277" i="5"/>
  <c r="O277" i="5"/>
  <c r="P277" i="5"/>
  <c r="Q277" i="5"/>
  <c r="R277" i="5"/>
  <c r="S277" i="5"/>
  <c r="T277" i="5"/>
  <c r="U277" i="5"/>
  <c r="V277" i="5"/>
  <c r="H278" i="5"/>
  <c r="I278" i="5"/>
  <c r="J278" i="5"/>
  <c r="K278" i="5"/>
  <c r="L278" i="5"/>
  <c r="M278" i="5"/>
  <c r="N278" i="5"/>
  <c r="O278" i="5"/>
  <c r="P278" i="5"/>
  <c r="Q278" i="5"/>
  <c r="R278" i="5"/>
  <c r="S278" i="5"/>
  <c r="T278" i="5"/>
  <c r="U278" i="5"/>
  <c r="V278" i="5"/>
  <c r="H279" i="5"/>
  <c r="I279" i="5"/>
  <c r="J279" i="5"/>
  <c r="K279" i="5"/>
  <c r="L279" i="5"/>
  <c r="M279" i="5"/>
  <c r="N279" i="5"/>
  <c r="O279" i="5"/>
  <c r="P279" i="5"/>
  <c r="Q279" i="5"/>
  <c r="R279" i="5"/>
  <c r="S279" i="5"/>
  <c r="T279" i="5"/>
  <c r="U279" i="5"/>
  <c r="V279" i="5"/>
  <c r="H280" i="5"/>
  <c r="I280" i="5"/>
  <c r="J280" i="5"/>
  <c r="K280" i="5"/>
  <c r="L280" i="5"/>
  <c r="M280" i="5"/>
  <c r="N280" i="5"/>
  <c r="O280" i="5"/>
  <c r="P280" i="5"/>
  <c r="Q280" i="5"/>
  <c r="R280" i="5"/>
  <c r="S280" i="5"/>
  <c r="T280" i="5"/>
  <c r="U280" i="5"/>
  <c r="V280" i="5"/>
  <c r="H281" i="5"/>
  <c r="I281" i="5"/>
  <c r="J281" i="5"/>
  <c r="K281" i="5"/>
  <c r="L281" i="5"/>
  <c r="M281" i="5"/>
  <c r="N281" i="5"/>
  <c r="O281" i="5"/>
  <c r="P281" i="5"/>
  <c r="Q281" i="5"/>
  <c r="R281" i="5"/>
  <c r="S281" i="5"/>
  <c r="T281" i="5"/>
  <c r="U281" i="5"/>
  <c r="V281" i="5"/>
  <c r="H282" i="5"/>
  <c r="I282" i="5"/>
  <c r="J282" i="5"/>
  <c r="K282" i="5"/>
  <c r="L282" i="5"/>
  <c r="M282" i="5"/>
  <c r="N282" i="5"/>
  <c r="O282" i="5"/>
  <c r="P282" i="5"/>
  <c r="Q282" i="5"/>
  <c r="R282" i="5"/>
  <c r="S282" i="5"/>
  <c r="T282" i="5"/>
  <c r="U282" i="5"/>
  <c r="V282" i="5"/>
  <c r="H283" i="5"/>
  <c r="I283" i="5"/>
  <c r="J283" i="5"/>
  <c r="K283" i="5"/>
  <c r="L283" i="5"/>
  <c r="M283" i="5"/>
  <c r="N283" i="5"/>
  <c r="O283" i="5"/>
  <c r="P283" i="5"/>
  <c r="Q283" i="5"/>
  <c r="R283" i="5"/>
  <c r="S283" i="5"/>
  <c r="T283" i="5"/>
  <c r="U283" i="5"/>
  <c r="V283" i="5"/>
  <c r="H284" i="5"/>
  <c r="I284" i="5"/>
  <c r="J284" i="5"/>
  <c r="K284" i="5"/>
  <c r="L284" i="5"/>
  <c r="M284" i="5"/>
  <c r="N284" i="5"/>
  <c r="O284" i="5"/>
  <c r="P284" i="5"/>
  <c r="Q284" i="5"/>
  <c r="R284" i="5"/>
  <c r="S284" i="5"/>
  <c r="T284" i="5"/>
  <c r="U284" i="5"/>
  <c r="V284" i="5"/>
  <c r="H285" i="5"/>
  <c r="I285" i="5"/>
  <c r="J285" i="5"/>
  <c r="K285" i="5"/>
  <c r="L285" i="5"/>
  <c r="M285" i="5"/>
  <c r="N285" i="5"/>
  <c r="O285" i="5"/>
  <c r="P285" i="5"/>
  <c r="Q285" i="5"/>
  <c r="R285" i="5"/>
  <c r="S285" i="5"/>
  <c r="T285" i="5"/>
  <c r="U285" i="5"/>
  <c r="V285" i="5"/>
  <c r="H286" i="5"/>
  <c r="I286" i="5"/>
  <c r="J286" i="5"/>
  <c r="K286" i="5"/>
  <c r="L286" i="5"/>
  <c r="M286" i="5"/>
  <c r="N286" i="5"/>
  <c r="O286" i="5"/>
  <c r="P286" i="5"/>
  <c r="Q286" i="5"/>
  <c r="R286" i="5"/>
  <c r="S286" i="5"/>
  <c r="T286" i="5"/>
  <c r="U286" i="5"/>
  <c r="V286" i="5"/>
  <c r="H287" i="5"/>
  <c r="I287" i="5"/>
  <c r="J287" i="5"/>
  <c r="K287" i="5"/>
  <c r="L287" i="5"/>
  <c r="M287" i="5"/>
  <c r="N287" i="5"/>
  <c r="O287" i="5"/>
  <c r="P287" i="5"/>
  <c r="Q287" i="5"/>
  <c r="R287" i="5"/>
  <c r="S287" i="5"/>
  <c r="T287" i="5"/>
  <c r="U287" i="5"/>
  <c r="V287" i="5"/>
  <c r="H288" i="5"/>
  <c r="I288" i="5"/>
  <c r="J288" i="5"/>
  <c r="K288" i="5"/>
  <c r="L288" i="5"/>
  <c r="M288" i="5"/>
  <c r="N288" i="5"/>
  <c r="O288" i="5"/>
  <c r="P288" i="5"/>
  <c r="Q288" i="5"/>
  <c r="R288" i="5"/>
  <c r="S288" i="5"/>
  <c r="T288" i="5"/>
  <c r="U288" i="5"/>
  <c r="V288" i="5"/>
  <c r="H289" i="5"/>
  <c r="I289" i="5"/>
  <c r="J289" i="5"/>
  <c r="K289" i="5"/>
  <c r="L289" i="5"/>
  <c r="M289" i="5"/>
  <c r="N289" i="5"/>
  <c r="O289" i="5"/>
  <c r="P289" i="5"/>
  <c r="Q289" i="5"/>
  <c r="R289" i="5"/>
  <c r="S289" i="5"/>
  <c r="T289" i="5"/>
  <c r="U289" i="5"/>
  <c r="V289" i="5"/>
  <c r="H290" i="5"/>
  <c r="I290" i="5"/>
  <c r="J290" i="5"/>
  <c r="K290" i="5"/>
  <c r="L290" i="5"/>
  <c r="M290" i="5"/>
  <c r="N290" i="5"/>
  <c r="O290" i="5"/>
  <c r="P290" i="5"/>
  <c r="Q290" i="5"/>
  <c r="R290" i="5"/>
  <c r="S290" i="5"/>
  <c r="T290" i="5"/>
  <c r="U290" i="5"/>
  <c r="V290" i="5"/>
  <c r="H291" i="5"/>
  <c r="I291" i="5"/>
  <c r="J291" i="5"/>
  <c r="K291" i="5"/>
  <c r="L291" i="5"/>
  <c r="M291" i="5"/>
  <c r="N291" i="5"/>
  <c r="O291" i="5"/>
  <c r="P291" i="5"/>
  <c r="Q291" i="5"/>
  <c r="R291" i="5"/>
  <c r="S291" i="5"/>
  <c r="T291" i="5"/>
  <c r="U291" i="5"/>
  <c r="V291" i="5"/>
  <c r="H292" i="5"/>
  <c r="I292" i="5"/>
  <c r="J292" i="5"/>
  <c r="K292" i="5"/>
  <c r="L292" i="5"/>
  <c r="M292" i="5"/>
  <c r="N292" i="5"/>
  <c r="O292" i="5"/>
  <c r="P292" i="5"/>
  <c r="Q292" i="5"/>
  <c r="R292" i="5"/>
  <c r="S292" i="5"/>
  <c r="T292" i="5"/>
  <c r="U292" i="5"/>
  <c r="V292" i="5"/>
  <c r="H293" i="5"/>
  <c r="I293" i="5"/>
  <c r="J293" i="5"/>
  <c r="K293" i="5"/>
  <c r="L293" i="5"/>
  <c r="M293" i="5"/>
  <c r="N293" i="5"/>
  <c r="O293" i="5"/>
  <c r="P293" i="5"/>
  <c r="Q293" i="5"/>
  <c r="R293" i="5"/>
  <c r="S293" i="5"/>
  <c r="T293" i="5"/>
  <c r="U293" i="5"/>
  <c r="V293" i="5"/>
  <c r="H294" i="5"/>
  <c r="I294" i="5"/>
  <c r="J294" i="5"/>
  <c r="K294" i="5"/>
  <c r="L294" i="5"/>
  <c r="M294" i="5"/>
  <c r="N294" i="5"/>
  <c r="O294" i="5"/>
  <c r="P294" i="5"/>
  <c r="Q294" i="5"/>
  <c r="R294" i="5"/>
  <c r="S294" i="5"/>
  <c r="T294" i="5"/>
  <c r="U294" i="5"/>
  <c r="V294" i="5"/>
  <c r="H295" i="5"/>
  <c r="I295" i="5"/>
  <c r="J295" i="5"/>
  <c r="K295" i="5"/>
  <c r="L295" i="5"/>
  <c r="M295" i="5"/>
  <c r="N295" i="5"/>
  <c r="O295" i="5"/>
  <c r="P295" i="5"/>
  <c r="Q295" i="5"/>
  <c r="R295" i="5"/>
  <c r="S295" i="5"/>
  <c r="T295" i="5"/>
  <c r="U295" i="5"/>
  <c r="V295" i="5"/>
  <c r="H296" i="5"/>
  <c r="I296" i="5"/>
  <c r="J296" i="5"/>
  <c r="K296" i="5"/>
  <c r="L296" i="5"/>
  <c r="M296" i="5"/>
  <c r="N296" i="5"/>
  <c r="O296" i="5"/>
  <c r="P296" i="5"/>
  <c r="Q296" i="5"/>
  <c r="R296" i="5"/>
  <c r="S296" i="5"/>
  <c r="T296" i="5"/>
  <c r="U296" i="5"/>
  <c r="V296" i="5"/>
  <c r="H297" i="5"/>
  <c r="I297" i="5"/>
  <c r="J297" i="5"/>
  <c r="K297" i="5"/>
  <c r="L297" i="5"/>
  <c r="M297" i="5"/>
  <c r="N297" i="5"/>
  <c r="O297" i="5"/>
  <c r="P297" i="5"/>
  <c r="Q297" i="5"/>
  <c r="R297" i="5"/>
  <c r="S297" i="5"/>
  <c r="T297" i="5"/>
  <c r="U297" i="5"/>
  <c r="V297" i="5"/>
  <c r="H298" i="5"/>
  <c r="I298" i="5"/>
  <c r="J298" i="5"/>
  <c r="K298" i="5"/>
  <c r="L298" i="5"/>
  <c r="M298" i="5"/>
  <c r="N298" i="5"/>
  <c r="O298" i="5"/>
  <c r="P298" i="5"/>
  <c r="Q298" i="5"/>
  <c r="R298" i="5"/>
  <c r="S298" i="5"/>
  <c r="T298" i="5"/>
  <c r="U298" i="5"/>
  <c r="V298" i="5"/>
  <c r="H299" i="5"/>
  <c r="I299" i="5"/>
  <c r="J299" i="5"/>
  <c r="K299" i="5"/>
  <c r="L299" i="5"/>
  <c r="M299" i="5"/>
  <c r="N299" i="5"/>
  <c r="O299" i="5"/>
  <c r="P299" i="5"/>
  <c r="Q299" i="5"/>
  <c r="R299" i="5"/>
  <c r="S299" i="5"/>
  <c r="T299" i="5"/>
  <c r="U299" i="5"/>
  <c r="V299" i="5"/>
  <c r="H300" i="5"/>
  <c r="I300" i="5"/>
  <c r="J300" i="5"/>
  <c r="K300" i="5"/>
  <c r="L300" i="5"/>
  <c r="M300" i="5"/>
  <c r="N300" i="5"/>
  <c r="O300" i="5"/>
  <c r="P300" i="5"/>
  <c r="Q300" i="5"/>
  <c r="R300" i="5"/>
  <c r="S300" i="5"/>
  <c r="T300" i="5"/>
  <c r="U300" i="5"/>
  <c r="V300" i="5"/>
  <c r="H301" i="5"/>
  <c r="I301" i="5"/>
  <c r="J301" i="5"/>
  <c r="K301" i="5"/>
  <c r="L301" i="5"/>
  <c r="M301" i="5"/>
  <c r="N301" i="5"/>
  <c r="O301" i="5"/>
  <c r="P301" i="5"/>
  <c r="Q301" i="5"/>
  <c r="R301" i="5"/>
  <c r="S301" i="5"/>
  <c r="T301" i="5"/>
  <c r="U301" i="5"/>
  <c r="V301" i="5"/>
  <c r="H302" i="5"/>
  <c r="I302" i="5"/>
  <c r="J302" i="5"/>
  <c r="K302" i="5"/>
  <c r="L302" i="5"/>
  <c r="M302" i="5"/>
  <c r="N302" i="5"/>
  <c r="O302" i="5"/>
  <c r="P302" i="5"/>
  <c r="Q302" i="5"/>
  <c r="R302" i="5"/>
  <c r="S302" i="5"/>
  <c r="T302" i="5"/>
  <c r="U302" i="5"/>
  <c r="V302" i="5"/>
  <c r="H303" i="5"/>
  <c r="I303" i="5"/>
  <c r="J303" i="5"/>
  <c r="K303" i="5"/>
  <c r="L303" i="5"/>
  <c r="M303" i="5"/>
  <c r="N303" i="5"/>
  <c r="O303" i="5"/>
  <c r="P303" i="5"/>
  <c r="Q303" i="5"/>
  <c r="R303" i="5"/>
  <c r="S303" i="5"/>
  <c r="T303" i="5"/>
  <c r="U303" i="5"/>
  <c r="V303" i="5"/>
  <c r="H304" i="5"/>
  <c r="I304" i="5"/>
  <c r="J304" i="5"/>
  <c r="K304" i="5"/>
  <c r="L304" i="5"/>
  <c r="M304" i="5"/>
  <c r="N304" i="5"/>
  <c r="O304" i="5"/>
  <c r="P304" i="5"/>
  <c r="Q304" i="5"/>
  <c r="R304" i="5"/>
  <c r="S304" i="5"/>
  <c r="T304" i="5"/>
  <c r="U304" i="5"/>
  <c r="V304" i="5"/>
  <c r="H305" i="5"/>
  <c r="I305" i="5"/>
  <c r="J305" i="5"/>
  <c r="K305" i="5"/>
  <c r="L305" i="5"/>
  <c r="M305" i="5"/>
  <c r="N305" i="5"/>
  <c r="O305" i="5"/>
  <c r="P305" i="5"/>
  <c r="Q305" i="5"/>
  <c r="R305" i="5"/>
  <c r="S305" i="5"/>
  <c r="T305" i="5"/>
  <c r="U305" i="5"/>
  <c r="V305" i="5"/>
  <c r="H306" i="5"/>
  <c r="I306" i="5"/>
  <c r="J306" i="5"/>
  <c r="K306" i="5"/>
  <c r="L306" i="5"/>
  <c r="M306" i="5"/>
  <c r="N306" i="5"/>
  <c r="O306" i="5"/>
  <c r="P306" i="5"/>
  <c r="Q306" i="5"/>
  <c r="R306" i="5"/>
  <c r="S306" i="5"/>
  <c r="T306" i="5"/>
  <c r="U306" i="5"/>
  <c r="V306" i="5"/>
  <c r="H307" i="5"/>
  <c r="I307" i="5"/>
  <c r="J307" i="5"/>
  <c r="K307" i="5"/>
  <c r="L307" i="5"/>
  <c r="M307" i="5"/>
  <c r="N307" i="5"/>
  <c r="O307" i="5"/>
  <c r="P307" i="5"/>
  <c r="Q307" i="5"/>
  <c r="R307" i="5"/>
  <c r="S307" i="5"/>
  <c r="T307" i="5"/>
  <c r="U307" i="5"/>
  <c r="V307" i="5"/>
  <c r="H308" i="5"/>
  <c r="I308" i="5"/>
  <c r="J308" i="5"/>
  <c r="K308" i="5"/>
  <c r="L308" i="5"/>
  <c r="M308" i="5"/>
  <c r="N308" i="5"/>
  <c r="O308" i="5"/>
  <c r="P308" i="5"/>
  <c r="Q308" i="5"/>
  <c r="R308" i="5"/>
  <c r="S308" i="5"/>
  <c r="T308" i="5"/>
  <c r="U308" i="5"/>
  <c r="V308" i="5"/>
  <c r="H309" i="5"/>
  <c r="I309" i="5"/>
  <c r="J309" i="5"/>
  <c r="K309" i="5"/>
  <c r="L309" i="5"/>
  <c r="M309" i="5"/>
  <c r="N309" i="5"/>
  <c r="O309" i="5"/>
  <c r="P309" i="5"/>
  <c r="Q309" i="5"/>
  <c r="R309" i="5"/>
  <c r="S309" i="5"/>
  <c r="T309" i="5"/>
  <c r="U309" i="5"/>
  <c r="V309" i="5"/>
  <c r="H310" i="5"/>
  <c r="I310" i="5"/>
  <c r="J310" i="5"/>
  <c r="K310" i="5"/>
  <c r="L310" i="5"/>
  <c r="M310" i="5"/>
  <c r="N310" i="5"/>
  <c r="O310" i="5"/>
  <c r="P310" i="5"/>
  <c r="Q310" i="5"/>
  <c r="R310" i="5"/>
  <c r="S310" i="5"/>
  <c r="T310" i="5"/>
  <c r="U310" i="5"/>
  <c r="V310" i="5"/>
  <c r="H311" i="5"/>
  <c r="I311" i="5"/>
  <c r="J311" i="5"/>
  <c r="K311" i="5"/>
  <c r="L311" i="5"/>
  <c r="M311" i="5"/>
  <c r="N311" i="5"/>
  <c r="O311" i="5"/>
  <c r="P311" i="5"/>
  <c r="Q311" i="5"/>
  <c r="R311" i="5"/>
  <c r="S311" i="5"/>
  <c r="T311" i="5"/>
  <c r="U311" i="5"/>
  <c r="V311" i="5"/>
  <c r="H312" i="5"/>
  <c r="I312" i="5"/>
  <c r="J312" i="5"/>
  <c r="K312" i="5"/>
  <c r="L312" i="5"/>
  <c r="M312" i="5"/>
  <c r="N312" i="5"/>
  <c r="O312" i="5"/>
  <c r="P312" i="5"/>
  <c r="Q312" i="5"/>
  <c r="R312" i="5"/>
  <c r="S312" i="5"/>
  <c r="T312" i="5"/>
  <c r="U312" i="5"/>
  <c r="V312" i="5"/>
  <c r="H313" i="5"/>
  <c r="I313" i="5"/>
  <c r="J313" i="5"/>
  <c r="K313" i="5"/>
  <c r="L313" i="5"/>
  <c r="M313" i="5"/>
  <c r="N313" i="5"/>
  <c r="O313" i="5"/>
  <c r="P313" i="5"/>
  <c r="Q313" i="5"/>
  <c r="R313" i="5"/>
  <c r="S313" i="5"/>
  <c r="T313" i="5"/>
  <c r="U313" i="5"/>
  <c r="V313" i="5"/>
  <c r="H314" i="5"/>
  <c r="I314" i="5"/>
  <c r="J314" i="5"/>
  <c r="K314" i="5"/>
  <c r="L314" i="5"/>
  <c r="M314" i="5"/>
  <c r="N314" i="5"/>
  <c r="O314" i="5"/>
  <c r="P314" i="5"/>
  <c r="Q314" i="5"/>
  <c r="R314" i="5"/>
  <c r="S314" i="5"/>
  <c r="T314" i="5"/>
  <c r="U314" i="5"/>
  <c r="V314" i="5"/>
  <c r="H315" i="5"/>
  <c r="I315" i="5"/>
  <c r="J315" i="5"/>
  <c r="K315" i="5"/>
  <c r="L315" i="5"/>
  <c r="M315" i="5"/>
  <c r="N315" i="5"/>
  <c r="O315" i="5"/>
  <c r="P315" i="5"/>
  <c r="Q315" i="5"/>
  <c r="R315" i="5"/>
  <c r="S315" i="5"/>
  <c r="T315" i="5"/>
  <c r="U315" i="5"/>
  <c r="V315" i="5"/>
  <c r="H316" i="5"/>
  <c r="I316" i="5"/>
  <c r="J316" i="5"/>
  <c r="K316" i="5"/>
  <c r="L316" i="5"/>
  <c r="M316" i="5"/>
  <c r="N316" i="5"/>
  <c r="O316" i="5"/>
  <c r="P316" i="5"/>
  <c r="Q316" i="5"/>
  <c r="R316" i="5"/>
  <c r="S316" i="5"/>
  <c r="T316" i="5"/>
  <c r="U316" i="5"/>
  <c r="V316" i="5"/>
  <c r="H317" i="5"/>
  <c r="I317" i="5"/>
  <c r="J317" i="5"/>
  <c r="K317" i="5"/>
  <c r="L317" i="5"/>
  <c r="M317" i="5"/>
  <c r="N317" i="5"/>
  <c r="O317" i="5"/>
  <c r="P317" i="5"/>
  <c r="Q317" i="5"/>
  <c r="R317" i="5"/>
  <c r="S317" i="5"/>
  <c r="T317" i="5"/>
  <c r="U317" i="5"/>
  <c r="V317" i="5"/>
  <c r="H318" i="5"/>
  <c r="I318" i="5"/>
  <c r="J318" i="5"/>
  <c r="K318" i="5"/>
  <c r="L318" i="5"/>
  <c r="M318" i="5"/>
  <c r="N318" i="5"/>
  <c r="O318" i="5"/>
  <c r="P318" i="5"/>
  <c r="Q318" i="5"/>
  <c r="R318" i="5"/>
  <c r="S318" i="5"/>
  <c r="T318" i="5"/>
  <c r="U318" i="5"/>
  <c r="V318" i="5"/>
  <c r="H319" i="5"/>
  <c r="I319" i="5"/>
  <c r="J319" i="5"/>
  <c r="K319" i="5"/>
  <c r="L319" i="5"/>
  <c r="M319" i="5"/>
  <c r="N319" i="5"/>
  <c r="O319" i="5"/>
  <c r="P319" i="5"/>
  <c r="Q319" i="5"/>
  <c r="R319" i="5"/>
  <c r="S319" i="5"/>
  <c r="T319" i="5"/>
  <c r="U319" i="5"/>
  <c r="V319" i="5"/>
  <c r="H320" i="5"/>
  <c r="I320" i="5"/>
  <c r="J320" i="5"/>
  <c r="K320" i="5"/>
  <c r="L320" i="5"/>
  <c r="M320" i="5"/>
  <c r="N320" i="5"/>
  <c r="O320" i="5"/>
  <c r="P320" i="5"/>
  <c r="Q320" i="5"/>
  <c r="R320" i="5"/>
  <c r="S320" i="5"/>
  <c r="T320" i="5"/>
  <c r="U320" i="5"/>
  <c r="V320" i="5"/>
  <c r="H321" i="5"/>
  <c r="I321" i="5"/>
  <c r="J321" i="5"/>
  <c r="K321" i="5"/>
  <c r="L321" i="5"/>
  <c r="M321" i="5"/>
  <c r="N321" i="5"/>
  <c r="O321" i="5"/>
  <c r="P321" i="5"/>
  <c r="Q321" i="5"/>
  <c r="R321" i="5"/>
  <c r="S321" i="5"/>
  <c r="T321" i="5"/>
  <c r="U321" i="5"/>
  <c r="V321" i="5"/>
  <c r="H322" i="5"/>
  <c r="I322" i="5"/>
  <c r="J322" i="5"/>
  <c r="K322" i="5"/>
  <c r="L322" i="5"/>
  <c r="M322" i="5"/>
  <c r="N322" i="5"/>
  <c r="O322" i="5"/>
  <c r="P322" i="5"/>
  <c r="Q322" i="5"/>
  <c r="R322" i="5"/>
  <c r="S322" i="5"/>
  <c r="T322" i="5"/>
  <c r="U322" i="5"/>
  <c r="V322" i="5"/>
  <c r="H323" i="5"/>
  <c r="I323" i="5"/>
  <c r="J323" i="5"/>
  <c r="K323" i="5"/>
  <c r="L323" i="5"/>
  <c r="M323" i="5"/>
  <c r="N323" i="5"/>
  <c r="O323" i="5"/>
  <c r="P323" i="5"/>
  <c r="Q323" i="5"/>
  <c r="R323" i="5"/>
  <c r="S323" i="5"/>
  <c r="T323" i="5"/>
  <c r="U323" i="5"/>
  <c r="V323" i="5"/>
  <c r="H324" i="5"/>
  <c r="I324" i="5"/>
  <c r="J324" i="5"/>
  <c r="K324" i="5"/>
  <c r="L324" i="5"/>
  <c r="M324" i="5"/>
  <c r="N324" i="5"/>
  <c r="O324" i="5"/>
  <c r="P324" i="5"/>
  <c r="Q324" i="5"/>
  <c r="R324" i="5"/>
  <c r="S324" i="5"/>
  <c r="T324" i="5"/>
  <c r="U324" i="5"/>
  <c r="V324" i="5"/>
  <c r="H325" i="5"/>
  <c r="I325" i="5"/>
  <c r="J325" i="5"/>
  <c r="K325" i="5"/>
  <c r="L325" i="5"/>
  <c r="M325" i="5"/>
  <c r="N325" i="5"/>
  <c r="O325" i="5"/>
  <c r="P325" i="5"/>
  <c r="Q325" i="5"/>
  <c r="R325" i="5"/>
  <c r="S325" i="5"/>
  <c r="T325" i="5"/>
  <c r="U325" i="5"/>
  <c r="V325" i="5"/>
  <c r="H326" i="5"/>
  <c r="I326" i="5"/>
  <c r="J326" i="5"/>
  <c r="K326" i="5"/>
  <c r="L326" i="5"/>
  <c r="M326" i="5"/>
  <c r="N326" i="5"/>
  <c r="O326" i="5"/>
  <c r="P326" i="5"/>
  <c r="Q326" i="5"/>
  <c r="R326" i="5"/>
  <c r="S326" i="5"/>
  <c r="T326" i="5"/>
  <c r="U326" i="5"/>
  <c r="V326" i="5"/>
  <c r="H327" i="5"/>
  <c r="I327" i="5"/>
  <c r="J327" i="5"/>
  <c r="K327" i="5"/>
  <c r="L327" i="5"/>
  <c r="M327" i="5"/>
  <c r="N327" i="5"/>
  <c r="O327" i="5"/>
  <c r="P327" i="5"/>
  <c r="Q327" i="5"/>
  <c r="R327" i="5"/>
  <c r="S327" i="5"/>
  <c r="T327" i="5"/>
  <c r="U327" i="5"/>
  <c r="V327" i="5"/>
  <c r="H328" i="5"/>
  <c r="I328" i="5"/>
  <c r="J328" i="5"/>
  <c r="K328" i="5"/>
  <c r="L328" i="5"/>
  <c r="M328" i="5"/>
  <c r="N328" i="5"/>
  <c r="O328" i="5"/>
  <c r="P328" i="5"/>
  <c r="Q328" i="5"/>
  <c r="R328" i="5"/>
  <c r="S328" i="5"/>
  <c r="T328" i="5"/>
  <c r="U328" i="5"/>
  <c r="V328" i="5"/>
  <c r="H329" i="5"/>
  <c r="I329" i="5"/>
  <c r="J329" i="5"/>
  <c r="K329" i="5"/>
  <c r="L329" i="5"/>
  <c r="M329" i="5"/>
  <c r="N329" i="5"/>
  <c r="O329" i="5"/>
  <c r="P329" i="5"/>
  <c r="Q329" i="5"/>
  <c r="R329" i="5"/>
  <c r="S329" i="5"/>
  <c r="T329" i="5"/>
  <c r="U329" i="5"/>
  <c r="V329" i="5"/>
  <c r="H330" i="5"/>
  <c r="I330" i="5"/>
  <c r="J330" i="5"/>
  <c r="K330" i="5"/>
  <c r="L330" i="5"/>
  <c r="M330" i="5"/>
  <c r="N330" i="5"/>
  <c r="O330" i="5"/>
  <c r="P330" i="5"/>
  <c r="Q330" i="5"/>
  <c r="R330" i="5"/>
  <c r="S330" i="5"/>
  <c r="T330" i="5"/>
  <c r="U330" i="5"/>
  <c r="V330" i="5"/>
  <c r="H331" i="5"/>
  <c r="I331" i="5"/>
  <c r="J331" i="5"/>
  <c r="K331" i="5"/>
  <c r="L331" i="5"/>
  <c r="M331" i="5"/>
  <c r="N331" i="5"/>
  <c r="O331" i="5"/>
  <c r="P331" i="5"/>
  <c r="Q331" i="5"/>
  <c r="R331" i="5"/>
  <c r="S331" i="5"/>
  <c r="T331" i="5"/>
  <c r="U331" i="5"/>
  <c r="V331" i="5"/>
  <c r="H332" i="5"/>
  <c r="I332" i="5"/>
  <c r="J332" i="5"/>
  <c r="K332" i="5"/>
  <c r="L332" i="5"/>
  <c r="M332" i="5"/>
  <c r="N332" i="5"/>
  <c r="O332" i="5"/>
  <c r="P332" i="5"/>
  <c r="Q332" i="5"/>
  <c r="R332" i="5"/>
  <c r="S332" i="5"/>
  <c r="T332" i="5"/>
  <c r="U332" i="5"/>
  <c r="V332" i="5"/>
  <c r="H333" i="5"/>
  <c r="I333" i="5"/>
  <c r="J333" i="5"/>
  <c r="K333" i="5"/>
  <c r="L333" i="5"/>
  <c r="M333" i="5"/>
  <c r="N333" i="5"/>
  <c r="O333" i="5"/>
  <c r="P333" i="5"/>
  <c r="Q333" i="5"/>
  <c r="R333" i="5"/>
  <c r="S333" i="5"/>
  <c r="T333" i="5"/>
  <c r="U333" i="5"/>
  <c r="V333" i="5"/>
  <c r="H334" i="5"/>
  <c r="I334" i="5"/>
  <c r="J334" i="5"/>
  <c r="K334" i="5"/>
  <c r="L334" i="5"/>
  <c r="M334" i="5"/>
  <c r="N334" i="5"/>
  <c r="O334" i="5"/>
  <c r="P334" i="5"/>
  <c r="Q334" i="5"/>
  <c r="R334" i="5"/>
  <c r="S334" i="5"/>
  <c r="T334" i="5"/>
  <c r="U334" i="5"/>
  <c r="V334" i="5"/>
  <c r="H335" i="5"/>
  <c r="I335" i="5"/>
  <c r="J335" i="5"/>
  <c r="K335" i="5"/>
  <c r="L335" i="5"/>
  <c r="M335" i="5"/>
  <c r="N335" i="5"/>
  <c r="O335" i="5"/>
  <c r="P335" i="5"/>
  <c r="Q335" i="5"/>
  <c r="R335" i="5"/>
  <c r="S335" i="5"/>
  <c r="T335" i="5"/>
  <c r="U335" i="5"/>
  <c r="V335" i="5"/>
  <c r="H336" i="5"/>
  <c r="I336" i="5"/>
  <c r="J336" i="5"/>
  <c r="K336" i="5"/>
  <c r="L336" i="5"/>
  <c r="M336" i="5"/>
  <c r="N336" i="5"/>
  <c r="O336" i="5"/>
  <c r="P336" i="5"/>
  <c r="Q336" i="5"/>
  <c r="R336" i="5"/>
  <c r="S336" i="5"/>
  <c r="T336" i="5"/>
  <c r="U336" i="5"/>
  <c r="V336" i="5"/>
  <c r="H337" i="5"/>
  <c r="I337" i="5"/>
  <c r="J337" i="5"/>
  <c r="K337" i="5"/>
  <c r="L337" i="5"/>
  <c r="M337" i="5"/>
  <c r="N337" i="5"/>
  <c r="O337" i="5"/>
  <c r="P337" i="5"/>
  <c r="Q337" i="5"/>
  <c r="R337" i="5"/>
  <c r="S337" i="5"/>
  <c r="T337" i="5"/>
  <c r="U337" i="5"/>
  <c r="V337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V338" i="5"/>
  <c r="H339" i="5"/>
  <c r="I339" i="5"/>
  <c r="J339" i="5"/>
  <c r="K339" i="5"/>
  <c r="L339" i="5"/>
  <c r="M339" i="5"/>
  <c r="N339" i="5"/>
  <c r="O339" i="5"/>
  <c r="P339" i="5"/>
  <c r="Q339" i="5"/>
  <c r="R339" i="5"/>
  <c r="S339" i="5"/>
  <c r="T339" i="5"/>
  <c r="U339" i="5"/>
  <c r="V339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V340" i="5"/>
  <c r="H341" i="5"/>
  <c r="I341" i="5"/>
  <c r="J341" i="5"/>
  <c r="K341" i="5"/>
  <c r="L341" i="5"/>
  <c r="M341" i="5"/>
  <c r="N341" i="5"/>
  <c r="O341" i="5"/>
  <c r="P341" i="5"/>
  <c r="Q341" i="5"/>
  <c r="R341" i="5"/>
  <c r="S341" i="5"/>
  <c r="T341" i="5"/>
  <c r="U341" i="5"/>
  <c r="V341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U342" i="5"/>
  <c r="V342" i="5"/>
  <c r="H343" i="5"/>
  <c r="I343" i="5"/>
  <c r="J343" i="5"/>
  <c r="K343" i="5"/>
  <c r="L343" i="5"/>
  <c r="M343" i="5"/>
  <c r="N343" i="5"/>
  <c r="O343" i="5"/>
  <c r="P343" i="5"/>
  <c r="Q343" i="5"/>
  <c r="R343" i="5"/>
  <c r="S343" i="5"/>
  <c r="T343" i="5"/>
  <c r="U343" i="5"/>
  <c r="V343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U344" i="5"/>
  <c r="V344" i="5"/>
  <c r="H345" i="5"/>
  <c r="I345" i="5"/>
  <c r="J345" i="5"/>
  <c r="K345" i="5"/>
  <c r="L345" i="5"/>
  <c r="M345" i="5"/>
  <c r="N345" i="5"/>
  <c r="O345" i="5"/>
  <c r="P345" i="5"/>
  <c r="Q345" i="5"/>
  <c r="R345" i="5"/>
  <c r="S345" i="5"/>
  <c r="T345" i="5"/>
  <c r="U345" i="5"/>
  <c r="V345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U346" i="5"/>
  <c r="V346" i="5"/>
  <c r="H347" i="5"/>
  <c r="I347" i="5"/>
  <c r="J347" i="5"/>
  <c r="K347" i="5"/>
  <c r="L347" i="5"/>
  <c r="M347" i="5"/>
  <c r="N347" i="5"/>
  <c r="O347" i="5"/>
  <c r="P347" i="5"/>
  <c r="Q347" i="5"/>
  <c r="R347" i="5"/>
  <c r="S347" i="5"/>
  <c r="T347" i="5"/>
  <c r="U347" i="5"/>
  <c r="V347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U348" i="5"/>
  <c r="V348" i="5"/>
  <c r="H349" i="5"/>
  <c r="I349" i="5"/>
  <c r="J349" i="5"/>
  <c r="K349" i="5"/>
  <c r="L349" i="5"/>
  <c r="M349" i="5"/>
  <c r="N349" i="5"/>
  <c r="O349" i="5"/>
  <c r="P349" i="5"/>
  <c r="Q349" i="5"/>
  <c r="R349" i="5"/>
  <c r="S349" i="5"/>
  <c r="T349" i="5"/>
  <c r="U349" i="5"/>
  <c r="V349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U350" i="5"/>
  <c r="V350" i="5"/>
  <c r="H351" i="5"/>
  <c r="I351" i="5"/>
  <c r="J351" i="5"/>
  <c r="K351" i="5"/>
  <c r="L351" i="5"/>
  <c r="M351" i="5"/>
  <c r="N351" i="5"/>
  <c r="O351" i="5"/>
  <c r="P351" i="5"/>
  <c r="Q351" i="5"/>
  <c r="R351" i="5"/>
  <c r="S351" i="5"/>
  <c r="T351" i="5"/>
  <c r="U351" i="5"/>
  <c r="V351" i="5"/>
  <c r="H352" i="5"/>
  <c r="I352" i="5"/>
  <c r="J352" i="5"/>
  <c r="K352" i="5"/>
  <c r="L352" i="5"/>
  <c r="M352" i="5"/>
  <c r="N352" i="5"/>
  <c r="O352" i="5"/>
  <c r="P352" i="5"/>
  <c r="Q352" i="5"/>
  <c r="R352" i="5"/>
  <c r="S352" i="5"/>
  <c r="T352" i="5"/>
  <c r="U352" i="5"/>
  <c r="V352" i="5"/>
  <c r="H353" i="5"/>
  <c r="I353" i="5"/>
  <c r="J353" i="5"/>
  <c r="K353" i="5"/>
  <c r="L353" i="5"/>
  <c r="M353" i="5"/>
  <c r="N353" i="5"/>
  <c r="O353" i="5"/>
  <c r="P353" i="5"/>
  <c r="Q353" i="5"/>
  <c r="R353" i="5"/>
  <c r="S353" i="5"/>
  <c r="T353" i="5"/>
  <c r="U353" i="5"/>
  <c r="V353" i="5"/>
  <c r="H354" i="5"/>
  <c r="I354" i="5"/>
  <c r="J354" i="5"/>
  <c r="K354" i="5"/>
  <c r="L354" i="5"/>
  <c r="M354" i="5"/>
  <c r="N354" i="5"/>
  <c r="O354" i="5"/>
  <c r="P354" i="5"/>
  <c r="Q354" i="5"/>
  <c r="R354" i="5"/>
  <c r="S354" i="5"/>
  <c r="T354" i="5"/>
  <c r="U354" i="5"/>
  <c r="V354" i="5"/>
  <c r="H355" i="5"/>
  <c r="I355" i="5"/>
  <c r="J355" i="5"/>
  <c r="K355" i="5"/>
  <c r="L355" i="5"/>
  <c r="M355" i="5"/>
  <c r="N355" i="5"/>
  <c r="O355" i="5"/>
  <c r="P355" i="5"/>
  <c r="Q355" i="5"/>
  <c r="R355" i="5"/>
  <c r="S355" i="5"/>
  <c r="T355" i="5"/>
  <c r="U355" i="5"/>
  <c r="V355" i="5"/>
  <c r="H356" i="5"/>
  <c r="I356" i="5"/>
  <c r="J356" i="5"/>
  <c r="K356" i="5"/>
  <c r="L356" i="5"/>
  <c r="M356" i="5"/>
  <c r="N356" i="5"/>
  <c r="O356" i="5"/>
  <c r="P356" i="5"/>
  <c r="Q356" i="5"/>
  <c r="R356" i="5"/>
  <c r="S356" i="5"/>
  <c r="T356" i="5"/>
  <c r="U356" i="5"/>
  <c r="V356" i="5"/>
  <c r="H357" i="5"/>
  <c r="I357" i="5"/>
  <c r="J357" i="5"/>
  <c r="K357" i="5"/>
  <c r="L357" i="5"/>
  <c r="M357" i="5"/>
  <c r="N357" i="5"/>
  <c r="O357" i="5"/>
  <c r="P357" i="5"/>
  <c r="Q357" i="5"/>
  <c r="R357" i="5"/>
  <c r="S357" i="5"/>
  <c r="T357" i="5"/>
  <c r="U357" i="5"/>
  <c r="V357" i="5"/>
  <c r="H358" i="5"/>
  <c r="I358" i="5"/>
  <c r="J358" i="5"/>
  <c r="K358" i="5"/>
  <c r="L358" i="5"/>
  <c r="M358" i="5"/>
  <c r="N358" i="5"/>
  <c r="O358" i="5"/>
  <c r="P358" i="5"/>
  <c r="Q358" i="5"/>
  <c r="R358" i="5"/>
  <c r="S358" i="5"/>
  <c r="T358" i="5"/>
  <c r="U358" i="5"/>
  <c r="V358" i="5"/>
  <c r="H359" i="5"/>
  <c r="I359" i="5"/>
  <c r="J359" i="5"/>
  <c r="K359" i="5"/>
  <c r="L359" i="5"/>
  <c r="M359" i="5"/>
  <c r="N359" i="5"/>
  <c r="O359" i="5"/>
  <c r="P359" i="5"/>
  <c r="Q359" i="5"/>
  <c r="R359" i="5"/>
  <c r="S359" i="5"/>
  <c r="T359" i="5"/>
  <c r="U359" i="5"/>
  <c r="V359" i="5"/>
  <c r="H360" i="5"/>
  <c r="I360" i="5"/>
  <c r="J360" i="5"/>
  <c r="K360" i="5"/>
  <c r="L360" i="5"/>
  <c r="M360" i="5"/>
  <c r="N360" i="5"/>
  <c r="O360" i="5"/>
  <c r="P360" i="5"/>
  <c r="Q360" i="5"/>
  <c r="R360" i="5"/>
  <c r="S360" i="5"/>
  <c r="T360" i="5"/>
  <c r="U360" i="5"/>
  <c r="V360" i="5"/>
  <c r="H361" i="5"/>
  <c r="I361" i="5"/>
  <c r="J361" i="5"/>
  <c r="K361" i="5"/>
  <c r="L361" i="5"/>
  <c r="M361" i="5"/>
  <c r="N361" i="5"/>
  <c r="O361" i="5"/>
  <c r="P361" i="5"/>
  <c r="Q361" i="5"/>
  <c r="R361" i="5"/>
  <c r="S361" i="5"/>
  <c r="T361" i="5"/>
  <c r="U361" i="5"/>
  <c r="V361" i="5"/>
  <c r="H362" i="5"/>
  <c r="I362" i="5"/>
  <c r="J362" i="5"/>
  <c r="K362" i="5"/>
  <c r="L362" i="5"/>
  <c r="M362" i="5"/>
  <c r="N362" i="5"/>
  <c r="O362" i="5"/>
  <c r="P362" i="5"/>
  <c r="Q362" i="5"/>
  <c r="R362" i="5"/>
  <c r="S362" i="5"/>
  <c r="T362" i="5"/>
  <c r="U362" i="5"/>
  <c r="V362" i="5"/>
  <c r="H363" i="5"/>
  <c r="I363" i="5"/>
  <c r="J363" i="5"/>
  <c r="K363" i="5"/>
  <c r="L363" i="5"/>
  <c r="M363" i="5"/>
  <c r="N363" i="5"/>
  <c r="O363" i="5"/>
  <c r="P363" i="5"/>
  <c r="Q363" i="5"/>
  <c r="R363" i="5"/>
  <c r="S363" i="5"/>
  <c r="T363" i="5"/>
  <c r="U363" i="5"/>
  <c r="V363" i="5"/>
  <c r="H364" i="5"/>
  <c r="I364" i="5"/>
  <c r="J364" i="5"/>
  <c r="K364" i="5"/>
  <c r="L364" i="5"/>
  <c r="M364" i="5"/>
  <c r="N364" i="5"/>
  <c r="O364" i="5"/>
  <c r="P364" i="5"/>
  <c r="Q364" i="5"/>
  <c r="R364" i="5"/>
  <c r="S364" i="5"/>
  <c r="T364" i="5"/>
  <c r="U364" i="5"/>
  <c r="V364" i="5"/>
  <c r="H365" i="5"/>
  <c r="I365" i="5"/>
  <c r="J365" i="5"/>
  <c r="K365" i="5"/>
  <c r="L365" i="5"/>
  <c r="M365" i="5"/>
  <c r="N365" i="5"/>
  <c r="O365" i="5"/>
  <c r="P365" i="5"/>
  <c r="Q365" i="5"/>
  <c r="R365" i="5"/>
  <c r="S365" i="5"/>
  <c r="T365" i="5"/>
  <c r="U365" i="5"/>
  <c r="V365" i="5"/>
  <c r="H366" i="5"/>
  <c r="I366" i="5"/>
  <c r="J366" i="5"/>
  <c r="K366" i="5"/>
  <c r="L366" i="5"/>
  <c r="M366" i="5"/>
  <c r="N366" i="5"/>
  <c r="O366" i="5"/>
  <c r="P366" i="5"/>
  <c r="Q366" i="5"/>
  <c r="R366" i="5"/>
  <c r="S366" i="5"/>
  <c r="T366" i="5"/>
  <c r="U366" i="5"/>
  <c r="V366" i="5"/>
  <c r="H367" i="5"/>
  <c r="I367" i="5"/>
  <c r="J367" i="5"/>
  <c r="K367" i="5"/>
  <c r="L367" i="5"/>
  <c r="M367" i="5"/>
  <c r="N367" i="5"/>
  <c r="O367" i="5"/>
  <c r="P367" i="5"/>
  <c r="Q367" i="5"/>
  <c r="R367" i="5"/>
  <c r="S367" i="5"/>
  <c r="T367" i="5"/>
  <c r="U367" i="5"/>
  <c r="V367" i="5"/>
  <c r="H368" i="5"/>
  <c r="I368" i="5"/>
  <c r="J368" i="5"/>
  <c r="K368" i="5"/>
  <c r="L368" i="5"/>
  <c r="M368" i="5"/>
  <c r="N368" i="5"/>
  <c r="O368" i="5"/>
  <c r="P368" i="5"/>
  <c r="Q368" i="5"/>
  <c r="R368" i="5"/>
  <c r="S368" i="5"/>
  <c r="T368" i="5"/>
  <c r="U368" i="5"/>
  <c r="V368" i="5"/>
  <c r="H369" i="5"/>
  <c r="I369" i="5"/>
  <c r="J369" i="5"/>
  <c r="K369" i="5"/>
  <c r="L369" i="5"/>
  <c r="M369" i="5"/>
  <c r="N369" i="5"/>
  <c r="O369" i="5"/>
  <c r="P369" i="5"/>
  <c r="Q369" i="5"/>
  <c r="R369" i="5"/>
  <c r="S369" i="5"/>
  <c r="T369" i="5"/>
  <c r="U369" i="5"/>
  <c r="V369" i="5"/>
  <c r="H370" i="5"/>
  <c r="I370" i="5"/>
  <c r="J370" i="5"/>
  <c r="K370" i="5"/>
  <c r="L370" i="5"/>
  <c r="M370" i="5"/>
  <c r="N370" i="5"/>
  <c r="O370" i="5"/>
  <c r="P370" i="5"/>
  <c r="Q370" i="5"/>
  <c r="R370" i="5"/>
  <c r="S370" i="5"/>
  <c r="T370" i="5"/>
  <c r="U370" i="5"/>
  <c r="V370" i="5"/>
  <c r="H371" i="5"/>
  <c r="I371" i="5"/>
  <c r="J371" i="5"/>
  <c r="K371" i="5"/>
  <c r="L371" i="5"/>
  <c r="M371" i="5"/>
  <c r="N371" i="5"/>
  <c r="O371" i="5"/>
  <c r="P371" i="5"/>
  <c r="Q371" i="5"/>
  <c r="R371" i="5"/>
  <c r="S371" i="5"/>
  <c r="T371" i="5"/>
  <c r="U371" i="5"/>
  <c r="V371" i="5"/>
  <c r="H372" i="5"/>
  <c r="I372" i="5"/>
  <c r="J372" i="5"/>
  <c r="K372" i="5"/>
  <c r="L372" i="5"/>
  <c r="M372" i="5"/>
  <c r="N372" i="5"/>
  <c r="O372" i="5"/>
  <c r="P372" i="5"/>
  <c r="Q372" i="5"/>
  <c r="R372" i="5"/>
  <c r="S372" i="5"/>
  <c r="T372" i="5"/>
  <c r="U372" i="5"/>
  <c r="V372" i="5"/>
  <c r="H373" i="5"/>
  <c r="I373" i="5"/>
  <c r="J373" i="5"/>
  <c r="K373" i="5"/>
  <c r="L373" i="5"/>
  <c r="M373" i="5"/>
  <c r="N373" i="5"/>
  <c r="O373" i="5"/>
  <c r="P373" i="5"/>
  <c r="Q373" i="5"/>
  <c r="R373" i="5"/>
  <c r="S373" i="5"/>
  <c r="T373" i="5"/>
  <c r="U373" i="5"/>
  <c r="V373" i="5"/>
  <c r="H374" i="5"/>
  <c r="I374" i="5"/>
  <c r="J374" i="5"/>
  <c r="K374" i="5"/>
  <c r="L374" i="5"/>
  <c r="M374" i="5"/>
  <c r="N374" i="5"/>
  <c r="O374" i="5"/>
  <c r="P374" i="5"/>
  <c r="Q374" i="5"/>
  <c r="R374" i="5"/>
  <c r="S374" i="5"/>
  <c r="T374" i="5"/>
  <c r="U374" i="5"/>
  <c r="V374" i="5"/>
  <c r="H375" i="5"/>
  <c r="I375" i="5"/>
  <c r="J375" i="5"/>
  <c r="K375" i="5"/>
  <c r="L375" i="5"/>
  <c r="M375" i="5"/>
  <c r="N375" i="5"/>
  <c r="O375" i="5"/>
  <c r="P375" i="5"/>
  <c r="Q375" i="5"/>
  <c r="R375" i="5"/>
  <c r="S375" i="5"/>
  <c r="T375" i="5"/>
  <c r="U375" i="5"/>
  <c r="V375" i="5"/>
  <c r="H376" i="5"/>
  <c r="I376" i="5"/>
  <c r="J376" i="5"/>
  <c r="K376" i="5"/>
  <c r="L376" i="5"/>
  <c r="M376" i="5"/>
  <c r="N376" i="5"/>
  <c r="O376" i="5"/>
  <c r="P376" i="5"/>
  <c r="Q376" i="5"/>
  <c r="R376" i="5"/>
  <c r="S376" i="5"/>
  <c r="T376" i="5"/>
  <c r="U376" i="5"/>
  <c r="V376" i="5"/>
  <c r="H377" i="5"/>
  <c r="I377" i="5"/>
  <c r="J377" i="5"/>
  <c r="K377" i="5"/>
  <c r="L377" i="5"/>
  <c r="M377" i="5"/>
  <c r="N377" i="5"/>
  <c r="O377" i="5"/>
  <c r="P377" i="5"/>
  <c r="Q377" i="5"/>
  <c r="R377" i="5"/>
  <c r="S377" i="5"/>
  <c r="T377" i="5"/>
  <c r="U377" i="5"/>
  <c r="V377" i="5"/>
  <c r="H378" i="5"/>
  <c r="I378" i="5"/>
  <c r="J378" i="5"/>
  <c r="K378" i="5"/>
  <c r="L378" i="5"/>
  <c r="M378" i="5"/>
  <c r="N378" i="5"/>
  <c r="O378" i="5"/>
  <c r="P378" i="5"/>
  <c r="Q378" i="5"/>
  <c r="R378" i="5"/>
  <c r="S378" i="5"/>
  <c r="T378" i="5"/>
  <c r="U378" i="5"/>
  <c r="V378" i="5"/>
  <c r="H379" i="5"/>
  <c r="I379" i="5"/>
  <c r="J379" i="5"/>
  <c r="K379" i="5"/>
  <c r="L379" i="5"/>
  <c r="M379" i="5"/>
  <c r="N379" i="5"/>
  <c r="O379" i="5"/>
  <c r="P379" i="5"/>
  <c r="Q379" i="5"/>
  <c r="R379" i="5"/>
  <c r="S379" i="5"/>
  <c r="T379" i="5"/>
  <c r="U379" i="5"/>
  <c r="V379" i="5"/>
  <c r="H380" i="5"/>
  <c r="I380" i="5"/>
  <c r="J380" i="5"/>
  <c r="K380" i="5"/>
  <c r="L380" i="5"/>
  <c r="M380" i="5"/>
  <c r="N380" i="5"/>
  <c r="O380" i="5"/>
  <c r="P380" i="5"/>
  <c r="Q380" i="5"/>
  <c r="R380" i="5"/>
  <c r="S380" i="5"/>
  <c r="T380" i="5"/>
  <c r="U380" i="5"/>
  <c r="V380" i="5"/>
  <c r="H381" i="5"/>
  <c r="I381" i="5"/>
  <c r="J381" i="5"/>
  <c r="K381" i="5"/>
  <c r="L381" i="5"/>
  <c r="M381" i="5"/>
  <c r="N381" i="5"/>
  <c r="O381" i="5"/>
  <c r="P381" i="5"/>
  <c r="Q381" i="5"/>
  <c r="R381" i="5"/>
  <c r="S381" i="5"/>
  <c r="T381" i="5"/>
  <c r="U381" i="5"/>
  <c r="V381" i="5"/>
  <c r="H382" i="5"/>
  <c r="I382" i="5"/>
  <c r="J382" i="5"/>
  <c r="K382" i="5"/>
  <c r="L382" i="5"/>
  <c r="M382" i="5"/>
  <c r="N382" i="5"/>
  <c r="O382" i="5"/>
  <c r="P382" i="5"/>
  <c r="Q382" i="5"/>
  <c r="R382" i="5"/>
  <c r="S382" i="5"/>
  <c r="T382" i="5"/>
  <c r="U382" i="5"/>
  <c r="V382" i="5"/>
  <c r="H383" i="5"/>
  <c r="I383" i="5"/>
  <c r="J383" i="5"/>
  <c r="K383" i="5"/>
  <c r="L383" i="5"/>
  <c r="M383" i="5"/>
  <c r="N383" i="5"/>
  <c r="O383" i="5"/>
  <c r="P383" i="5"/>
  <c r="Q383" i="5"/>
  <c r="R383" i="5"/>
  <c r="S383" i="5"/>
  <c r="T383" i="5"/>
  <c r="U383" i="5"/>
  <c r="V383" i="5"/>
  <c r="H384" i="5"/>
  <c r="I384" i="5"/>
  <c r="J384" i="5"/>
  <c r="K384" i="5"/>
  <c r="L384" i="5"/>
  <c r="M384" i="5"/>
  <c r="N384" i="5"/>
  <c r="O384" i="5"/>
  <c r="P384" i="5"/>
  <c r="Q384" i="5"/>
  <c r="R384" i="5"/>
  <c r="S384" i="5"/>
  <c r="T384" i="5"/>
  <c r="U384" i="5"/>
  <c r="V384" i="5"/>
  <c r="H385" i="5"/>
  <c r="I385" i="5"/>
  <c r="J385" i="5"/>
  <c r="K385" i="5"/>
  <c r="L385" i="5"/>
  <c r="M385" i="5"/>
  <c r="N385" i="5"/>
  <c r="O385" i="5"/>
  <c r="P385" i="5"/>
  <c r="Q385" i="5"/>
  <c r="R385" i="5"/>
  <c r="S385" i="5"/>
  <c r="T385" i="5"/>
  <c r="U385" i="5"/>
  <c r="V385" i="5"/>
  <c r="H386" i="5"/>
  <c r="I386" i="5"/>
  <c r="J386" i="5"/>
  <c r="K386" i="5"/>
  <c r="L386" i="5"/>
  <c r="M386" i="5"/>
  <c r="N386" i="5"/>
  <c r="O386" i="5"/>
  <c r="P386" i="5"/>
  <c r="Q386" i="5"/>
  <c r="R386" i="5"/>
  <c r="S386" i="5"/>
  <c r="T386" i="5"/>
  <c r="U386" i="5"/>
  <c r="V386" i="5"/>
  <c r="H387" i="5"/>
  <c r="I387" i="5"/>
  <c r="J387" i="5"/>
  <c r="K387" i="5"/>
  <c r="L387" i="5"/>
  <c r="M387" i="5"/>
  <c r="N387" i="5"/>
  <c r="O387" i="5"/>
  <c r="P387" i="5"/>
  <c r="Q387" i="5"/>
  <c r="R387" i="5"/>
  <c r="S387" i="5"/>
  <c r="T387" i="5"/>
  <c r="U387" i="5"/>
  <c r="V387" i="5"/>
  <c r="H388" i="5"/>
  <c r="I388" i="5"/>
  <c r="J388" i="5"/>
  <c r="K388" i="5"/>
  <c r="L388" i="5"/>
  <c r="M388" i="5"/>
  <c r="N388" i="5"/>
  <c r="O388" i="5"/>
  <c r="P388" i="5"/>
  <c r="Q388" i="5"/>
  <c r="R388" i="5"/>
  <c r="S388" i="5"/>
  <c r="T388" i="5"/>
  <c r="U388" i="5"/>
  <c r="V388" i="5"/>
  <c r="H389" i="5"/>
  <c r="I389" i="5"/>
  <c r="J389" i="5"/>
  <c r="K389" i="5"/>
  <c r="L389" i="5"/>
  <c r="M389" i="5"/>
  <c r="N389" i="5"/>
  <c r="O389" i="5"/>
  <c r="P389" i="5"/>
  <c r="Q389" i="5"/>
  <c r="R389" i="5"/>
  <c r="S389" i="5"/>
  <c r="T389" i="5"/>
  <c r="U389" i="5"/>
  <c r="V389" i="5"/>
  <c r="H390" i="5"/>
  <c r="I390" i="5"/>
  <c r="J390" i="5"/>
  <c r="K390" i="5"/>
  <c r="L390" i="5"/>
  <c r="M390" i="5"/>
  <c r="N390" i="5"/>
  <c r="O390" i="5"/>
  <c r="P390" i="5"/>
  <c r="Q390" i="5"/>
  <c r="R390" i="5"/>
  <c r="S390" i="5"/>
  <c r="T390" i="5"/>
  <c r="U390" i="5"/>
  <c r="V390" i="5"/>
  <c r="H391" i="5"/>
  <c r="I391" i="5"/>
  <c r="J391" i="5"/>
  <c r="K391" i="5"/>
  <c r="L391" i="5"/>
  <c r="M391" i="5"/>
  <c r="N391" i="5"/>
  <c r="O391" i="5"/>
  <c r="P391" i="5"/>
  <c r="Q391" i="5"/>
  <c r="R391" i="5"/>
  <c r="S391" i="5"/>
  <c r="T391" i="5"/>
  <c r="U391" i="5"/>
  <c r="V391" i="5"/>
  <c r="H392" i="5"/>
  <c r="I392" i="5"/>
  <c r="J392" i="5"/>
  <c r="K392" i="5"/>
  <c r="L392" i="5"/>
  <c r="M392" i="5"/>
  <c r="N392" i="5"/>
  <c r="O392" i="5"/>
  <c r="P392" i="5"/>
  <c r="Q392" i="5"/>
  <c r="R392" i="5"/>
  <c r="S392" i="5"/>
  <c r="T392" i="5"/>
  <c r="U392" i="5"/>
  <c r="V392" i="5"/>
  <c r="H393" i="5"/>
  <c r="I393" i="5"/>
  <c r="J393" i="5"/>
  <c r="K393" i="5"/>
  <c r="L393" i="5"/>
  <c r="M393" i="5"/>
  <c r="N393" i="5"/>
  <c r="O393" i="5"/>
  <c r="P393" i="5"/>
  <c r="Q393" i="5"/>
  <c r="R393" i="5"/>
  <c r="S393" i="5"/>
  <c r="T393" i="5"/>
  <c r="U393" i="5"/>
  <c r="V393" i="5"/>
  <c r="H394" i="5"/>
  <c r="I394" i="5"/>
  <c r="J394" i="5"/>
  <c r="K394" i="5"/>
  <c r="L394" i="5"/>
  <c r="M394" i="5"/>
  <c r="N394" i="5"/>
  <c r="O394" i="5"/>
  <c r="P394" i="5"/>
  <c r="Q394" i="5"/>
  <c r="R394" i="5"/>
  <c r="S394" i="5"/>
  <c r="T394" i="5"/>
  <c r="U394" i="5"/>
  <c r="V394" i="5"/>
  <c r="H395" i="5"/>
  <c r="I395" i="5"/>
  <c r="J395" i="5"/>
  <c r="K395" i="5"/>
  <c r="L395" i="5"/>
  <c r="M395" i="5"/>
  <c r="N395" i="5"/>
  <c r="O395" i="5"/>
  <c r="P395" i="5"/>
  <c r="Q395" i="5"/>
  <c r="R395" i="5"/>
  <c r="S395" i="5"/>
  <c r="T395" i="5"/>
  <c r="U395" i="5"/>
  <c r="V395" i="5"/>
  <c r="H396" i="5"/>
  <c r="I396" i="5"/>
  <c r="J396" i="5"/>
  <c r="K396" i="5"/>
  <c r="L396" i="5"/>
  <c r="M396" i="5"/>
  <c r="N396" i="5"/>
  <c r="O396" i="5"/>
  <c r="P396" i="5"/>
  <c r="Q396" i="5"/>
  <c r="R396" i="5"/>
  <c r="S396" i="5"/>
  <c r="T396" i="5"/>
  <c r="U396" i="5"/>
  <c r="V396" i="5"/>
  <c r="H397" i="5"/>
  <c r="I397" i="5"/>
  <c r="J397" i="5"/>
  <c r="K397" i="5"/>
  <c r="L397" i="5"/>
  <c r="M397" i="5"/>
  <c r="N397" i="5"/>
  <c r="O397" i="5"/>
  <c r="P397" i="5"/>
  <c r="Q397" i="5"/>
  <c r="R397" i="5"/>
  <c r="S397" i="5"/>
  <c r="T397" i="5"/>
  <c r="U397" i="5"/>
  <c r="V397" i="5"/>
  <c r="H398" i="5"/>
  <c r="I398" i="5"/>
  <c r="J398" i="5"/>
  <c r="K398" i="5"/>
  <c r="L398" i="5"/>
  <c r="M398" i="5"/>
  <c r="N398" i="5"/>
  <c r="O398" i="5"/>
  <c r="P398" i="5"/>
  <c r="Q398" i="5"/>
  <c r="R398" i="5"/>
  <c r="S398" i="5"/>
  <c r="T398" i="5"/>
  <c r="U398" i="5"/>
  <c r="V398" i="5"/>
  <c r="H399" i="5"/>
  <c r="I399" i="5"/>
  <c r="J399" i="5"/>
  <c r="K399" i="5"/>
  <c r="L399" i="5"/>
  <c r="M399" i="5"/>
  <c r="N399" i="5"/>
  <c r="O399" i="5"/>
  <c r="P399" i="5"/>
  <c r="Q399" i="5"/>
  <c r="R399" i="5"/>
  <c r="S399" i="5"/>
  <c r="T399" i="5"/>
  <c r="U399" i="5"/>
  <c r="V399" i="5"/>
  <c r="H400" i="5"/>
  <c r="I400" i="5"/>
  <c r="J400" i="5"/>
  <c r="K400" i="5"/>
  <c r="L400" i="5"/>
  <c r="M400" i="5"/>
  <c r="N400" i="5"/>
  <c r="O400" i="5"/>
  <c r="P400" i="5"/>
  <c r="Q400" i="5"/>
  <c r="R400" i="5"/>
  <c r="S400" i="5"/>
  <c r="T400" i="5"/>
  <c r="U400" i="5"/>
  <c r="V400" i="5"/>
  <c r="O7" i="5"/>
  <c r="N7" i="5"/>
  <c r="V7" i="5"/>
  <c r="U7" i="5"/>
  <c r="T7" i="5"/>
  <c r="S7" i="5"/>
  <c r="Q7" i="5"/>
  <c r="P7" i="5"/>
  <c r="L7" i="5"/>
  <c r="J7" i="5"/>
  <c r="I7" i="5"/>
  <c r="H7" i="5"/>
  <c r="L5" i="3"/>
  <c r="L6" i="3" s="1"/>
  <c r="L7" i="3" s="1"/>
  <c r="K11" i="5" s="1"/>
  <c r="D5" i="3"/>
  <c r="D6" i="3"/>
  <c r="D7" i="3"/>
  <c r="D8" i="3"/>
  <c r="D9" i="3"/>
  <c r="M13" i="5" s="1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4" i="3"/>
  <c r="G5" i="3"/>
  <c r="G6" i="3"/>
  <c r="G7" i="3"/>
  <c r="G8" i="3"/>
  <c r="G9" i="3"/>
  <c r="R10" i="5" s="1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4" i="3"/>
  <c r="E32" i="5"/>
  <c r="E96" i="5"/>
  <c r="E160" i="5"/>
  <c r="E224" i="5"/>
  <c r="E35" i="5"/>
  <c r="E99" i="5"/>
  <c r="E163" i="5"/>
  <c r="E22" i="5"/>
  <c r="E86" i="5"/>
  <c r="E150" i="5"/>
  <c r="E214" i="5"/>
  <c r="E25" i="5"/>
  <c r="E89" i="5"/>
  <c r="E153" i="5"/>
  <c r="E217" i="5"/>
  <c r="E28" i="5"/>
  <c r="E92" i="5"/>
  <c r="E156" i="5"/>
  <c r="E220" i="5"/>
  <c r="E47" i="5"/>
  <c r="E111" i="5"/>
  <c r="E175" i="5"/>
  <c r="E239" i="5"/>
  <c r="E50" i="5"/>
  <c r="E114" i="5"/>
  <c r="E178" i="5"/>
  <c r="E242" i="5"/>
  <c r="E271" i="5"/>
  <c r="E335" i="5"/>
  <c r="E399" i="5"/>
  <c r="E266" i="5"/>
  <c r="E330" i="5"/>
  <c r="E394" i="5"/>
  <c r="E251" i="5"/>
  <c r="E317" i="5"/>
  <c r="E381" i="5"/>
  <c r="E125" i="5"/>
  <c r="E296" i="5"/>
  <c r="E360" i="5"/>
  <c r="E348" i="5"/>
  <c r="E267" i="5"/>
  <c r="E331" i="5"/>
  <c r="E395" i="5"/>
  <c r="E262" i="5"/>
  <c r="E326" i="5"/>
  <c r="E390" i="5"/>
  <c r="E237" i="5"/>
  <c r="E321" i="5"/>
  <c r="E385" i="5"/>
  <c r="E147" i="5"/>
  <c r="E201" i="5"/>
  <c r="E223" i="5"/>
  <c r="E314" i="5"/>
  <c r="E245" i="5"/>
  <c r="E305" i="5"/>
  <c r="E40" i="5"/>
  <c r="E104" i="5"/>
  <c r="E168" i="5"/>
  <c r="E232" i="5"/>
  <c r="E43" i="5"/>
  <c r="E107" i="5"/>
  <c r="E171" i="5"/>
  <c r="E30" i="5"/>
  <c r="E94" i="5"/>
  <c r="E158" i="5"/>
  <c r="E222" i="5"/>
  <c r="E33" i="5"/>
  <c r="E97" i="5"/>
  <c r="E161" i="5"/>
  <c r="E225" i="5"/>
  <c r="E36" i="5"/>
  <c r="E100" i="5"/>
  <c r="E164" i="5"/>
  <c r="E228" i="5"/>
  <c r="E55" i="5"/>
  <c r="E119" i="5"/>
  <c r="E183" i="5"/>
  <c r="E247" i="5"/>
  <c r="E58" i="5"/>
  <c r="E122" i="5"/>
  <c r="E186" i="5"/>
  <c r="E250" i="5"/>
  <c r="E279" i="5"/>
  <c r="E343" i="5"/>
  <c r="E284" i="5"/>
  <c r="E274" i="5"/>
  <c r="E338" i="5"/>
  <c r="E157" i="5"/>
  <c r="E261" i="5"/>
  <c r="E325" i="5"/>
  <c r="E389" i="5"/>
  <c r="E189" i="5"/>
  <c r="E304" i="5"/>
  <c r="E368" i="5"/>
  <c r="E380" i="5"/>
  <c r="E275" i="5"/>
  <c r="E339" i="5"/>
  <c r="E308" i="5"/>
  <c r="E270" i="5"/>
  <c r="E334" i="5"/>
  <c r="E398" i="5"/>
  <c r="E265" i="5"/>
  <c r="E329" i="5"/>
  <c r="E393" i="5"/>
  <c r="E83" i="5"/>
  <c r="E9" i="5"/>
  <c r="E204" i="5"/>
  <c r="E98" i="5"/>
  <c r="E205" i="5"/>
  <c r="E280" i="5"/>
  <c r="E310" i="5"/>
  <c r="E48" i="5"/>
  <c r="E112" i="5"/>
  <c r="E176" i="5"/>
  <c r="E240" i="5"/>
  <c r="E51" i="5"/>
  <c r="E115" i="5"/>
  <c r="E179" i="5"/>
  <c r="E38" i="5"/>
  <c r="E102" i="5"/>
  <c r="E166" i="5"/>
  <c r="E230" i="5"/>
  <c r="E41" i="5"/>
  <c r="E105" i="5"/>
  <c r="E169" i="5"/>
  <c r="E233" i="5"/>
  <c r="E44" i="5"/>
  <c r="E108" i="5"/>
  <c r="E172" i="5"/>
  <c r="E236" i="5"/>
  <c r="E63" i="5"/>
  <c r="E127" i="5"/>
  <c r="E191" i="5"/>
  <c r="E255" i="5"/>
  <c r="E66" i="5"/>
  <c r="E130" i="5"/>
  <c r="E194" i="5"/>
  <c r="E258" i="5"/>
  <c r="E287" i="5"/>
  <c r="E351" i="5"/>
  <c r="E340" i="5"/>
  <c r="E282" i="5"/>
  <c r="E346" i="5"/>
  <c r="E268" i="5"/>
  <c r="E269" i="5"/>
  <c r="E333" i="5"/>
  <c r="E397" i="5"/>
  <c r="E243" i="5"/>
  <c r="E312" i="5"/>
  <c r="E376" i="5"/>
  <c r="E21" i="5"/>
  <c r="E283" i="5"/>
  <c r="E347" i="5"/>
  <c r="E372" i="5"/>
  <c r="E278" i="5"/>
  <c r="E342" i="5"/>
  <c r="E227" i="5"/>
  <c r="E273" i="5"/>
  <c r="E337" i="5"/>
  <c r="E29" i="5"/>
  <c r="E208" i="5"/>
  <c r="E198" i="5"/>
  <c r="E12" i="5"/>
  <c r="E159" i="5"/>
  <c r="E319" i="5"/>
  <c r="E365" i="5"/>
  <c r="E379" i="5"/>
  <c r="E56" i="5"/>
  <c r="E120" i="5"/>
  <c r="E184" i="5"/>
  <c r="E248" i="5"/>
  <c r="E59" i="5"/>
  <c r="E123" i="5"/>
  <c r="E187" i="5"/>
  <c r="E46" i="5"/>
  <c r="E110" i="5"/>
  <c r="E174" i="5"/>
  <c r="E238" i="5"/>
  <c r="E49" i="5"/>
  <c r="E113" i="5"/>
  <c r="E177" i="5"/>
  <c r="E241" i="5"/>
  <c r="E52" i="5"/>
  <c r="E116" i="5"/>
  <c r="E180" i="5"/>
  <c r="E244" i="5"/>
  <c r="E71" i="5"/>
  <c r="E135" i="5"/>
  <c r="E199" i="5"/>
  <c r="E10" i="5"/>
  <c r="E74" i="5"/>
  <c r="E138" i="5"/>
  <c r="E202" i="5"/>
  <c r="E53" i="5"/>
  <c r="E295" i="5"/>
  <c r="E359" i="5"/>
  <c r="E13" i="5"/>
  <c r="E290" i="5"/>
  <c r="E354" i="5"/>
  <c r="E388" i="5"/>
  <c r="E277" i="5"/>
  <c r="E341" i="5"/>
  <c r="E93" i="5"/>
  <c r="E252" i="5"/>
  <c r="E320" i="5"/>
  <c r="E384" i="5"/>
  <c r="E85" i="5"/>
  <c r="E291" i="5"/>
  <c r="E355" i="5"/>
  <c r="E45" i="5"/>
  <c r="E286" i="5"/>
  <c r="E350" i="5"/>
  <c r="E316" i="5"/>
  <c r="E281" i="5"/>
  <c r="E345" i="5"/>
  <c r="E292" i="5"/>
  <c r="E144" i="5"/>
  <c r="E134" i="5"/>
  <c r="E140" i="5"/>
  <c r="E162" i="5"/>
  <c r="E378" i="5"/>
  <c r="E344" i="5"/>
  <c r="E374" i="5"/>
  <c r="E64" i="5"/>
  <c r="E128" i="5"/>
  <c r="E192" i="5"/>
  <c r="E256" i="5"/>
  <c r="E67" i="5"/>
  <c r="E131" i="5"/>
  <c r="E195" i="5"/>
  <c r="E54" i="5"/>
  <c r="E118" i="5"/>
  <c r="E182" i="5"/>
  <c r="E246" i="5"/>
  <c r="E57" i="5"/>
  <c r="E121" i="5"/>
  <c r="E185" i="5"/>
  <c r="E249" i="5"/>
  <c r="E60" i="5"/>
  <c r="E124" i="5"/>
  <c r="E188" i="5"/>
  <c r="E15" i="5"/>
  <c r="E79" i="5"/>
  <c r="E143" i="5"/>
  <c r="E207" i="5"/>
  <c r="E18" i="5"/>
  <c r="E82" i="5"/>
  <c r="E146" i="5"/>
  <c r="E210" i="5"/>
  <c r="E117" i="5"/>
  <c r="E303" i="5"/>
  <c r="E367" i="5"/>
  <c r="E77" i="5"/>
  <c r="E298" i="5"/>
  <c r="E362" i="5"/>
  <c r="E37" i="5"/>
  <c r="E285" i="5"/>
  <c r="E349" i="5"/>
  <c r="E260" i="5"/>
  <c r="E264" i="5"/>
  <c r="E328" i="5"/>
  <c r="E392" i="5"/>
  <c r="E149" i="5"/>
  <c r="E299" i="5"/>
  <c r="E363" i="5"/>
  <c r="E109" i="5"/>
  <c r="E294" i="5"/>
  <c r="E358" i="5"/>
  <c r="E364" i="5"/>
  <c r="E289" i="5"/>
  <c r="E353" i="5"/>
  <c r="E332" i="5"/>
  <c r="E19" i="5"/>
  <c r="E73" i="5"/>
  <c r="E31" i="5"/>
  <c r="E226" i="5"/>
  <c r="E165" i="5"/>
  <c r="E276" i="5"/>
  <c r="E133" i="5"/>
  <c r="E8" i="5"/>
  <c r="E72" i="5"/>
  <c r="E136" i="5"/>
  <c r="E200" i="5"/>
  <c r="E11" i="5"/>
  <c r="E75" i="5"/>
  <c r="E139" i="5"/>
  <c r="E203" i="5"/>
  <c r="E62" i="5"/>
  <c r="E126" i="5"/>
  <c r="E190" i="5"/>
  <c r="E254" i="5"/>
  <c r="E65" i="5"/>
  <c r="E129" i="5"/>
  <c r="E193" i="5"/>
  <c r="E257" i="5"/>
  <c r="E68" i="5"/>
  <c r="E132" i="5"/>
  <c r="E196" i="5"/>
  <c r="E23" i="5"/>
  <c r="E87" i="5"/>
  <c r="E151" i="5"/>
  <c r="E215" i="5"/>
  <c r="E26" i="5"/>
  <c r="E90" i="5"/>
  <c r="E154" i="5"/>
  <c r="E218" i="5"/>
  <c r="E181" i="5"/>
  <c r="E311" i="5"/>
  <c r="E375" i="5"/>
  <c r="E141" i="5"/>
  <c r="E306" i="5"/>
  <c r="E370" i="5"/>
  <c r="E101" i="5"/>
  <c r="E293" i="5"/>
  <c r="E357" i="5"/>
  <c r="E324" i="5"/>
  <c r="E272" i="5"/>
  <c r="E336" i="5"/>
  <c r="E400" i="5"/>
  <c r="E213" i="5"/>
  <c r="E307" i="5"/>
  <c r="E371" i="5"/>
  <c r="E173" i="5"/>
  <c r="E302" i="5"/>
  <c r="E366" i="5"/>
  <c r="E69" i="5"/>
  <c r="E297" i="5"/>
  <c r="E361" i="5"/>
  <c r="E396" i="5"/>
  <c r="E16" i="5"/>
  <c r="E211" i="5"/>
  <c r="E137" i="5"/>
  <c r="E95" i="5"/>
  <c r="E229" i="5"/>
  <c r="E301" i="5"/>
  <c r="E315" i="5"/>
  <c r="E369" i="5"/>
  <c r="E24" i="5"/>
  <c r="E88" i="5"/>
  <c r="E152" i="5"/>
  <c r="E216" i="5"/>
  <c r="E27" i="5"/>
  <c r="E91" i="5"/>
  <c r="E155" i="5"/>
  <c r="E14" i="5"/>
  <c r="E78" i="5"/>
  <c r="E142" i="5"/>
  <c r="E206" i="5"/>
  <c r="E17" i="5"/>
  <c r="E81" i="5"/>
  <c r="E145" i="5"/>
  <c r="E209" i="5"/>
  <c r="E20" i="5"/>
  <c r="E84" i="5"/>
  <c r="E148" i="5"/>
  <c r="E212" i="5"/>
  <c r="E39" i="5"/>
  <c r="E103" i="5"/>
  <c r="E167" i="5"/>
  <c r="E231" i="5"/>
  <c r="E42" i="5"/>
  <c r="E106" i="5"/>
  <c r="E170" i="5"/>
  <c r="E234" i="5"/>
  <c r="E263" i="5"/>
  <c r="E327" i="5"/>
  <c r="E391" i="5"/>
  <c r="E219" i="5"/>
  <c r="E322" i="5"/>
  <c r="E386" i="5"/>
  <c r="E221" i="5"/>
  <c r="E309" i="5"/>
  <c r="E373" i="5"/>
  <c r="E61" i="5"/>
  <c r="E288" i="5"/>
  <c r="E352" i="5"/>
  <c r="E300" i="5"/>
  <c r="E253" i="5"/>
  <c r="E323" i="5"/>
  <c r="E387" i="5"/>
  <c r="E259" i="5"/>
  <c r="E318" i="5"/>
  <c r="E382" i="5"/>
  <c r="E197" i="5"/>
  <c r="E313" i="5"/>
  <c r="E377" i="5"/>
  <c r="E80" i="5"/>
  <c r="E70" i="5"/>
  <c r="E76" i="5"/>
  <c r="E34" i="5"/>
  <c r="E383" i="5"/>
  <c r="E356" i="5"/>
  <c r="E235" i="5"/>
  <c r="F396" i="5" l="1"/>
  <c r="G396" i="5"/>
  <c r="F332" i="5"/>
  <c r="G332" i="5"/>
  <c r="F292" i="5"/>
  <c r="G292" i="5"/>
  <c r="F29" i="5"/>
  <c r="G29" i="5"/>
  <c r="G393" i="5"/>
  <c r="F393" i="5"/>
  <c r="G385" i="5"/>
  <c r="F385" i="5"/>
  <c r="G377" i="5"/>
  <c r="F377" i="5"/>
  <c r="G369" i="5"/>
  <c r="F369" i="5"/>
  <c r="G361" i="5"/>
  <c r="F361" i="5"/>
  <c r="G353" i="5"/>
  <c r="F353" i="5"/>
  <c r="G345" i="5"/>
  <c r="F345" i="5"/>
  <c r="G337" i="5"/>
  <c r="F337" i="5"/>
  <c r="G329" i="5"/>
  <c r="F329" i="5"/>
  <c r="G321" i="5"/>
  <c r="F321" i="5"/>
  <c r="G313" i="5"/>
  <c r="F313" i="5"/>
  <c r="G305" i="5"/>
  <c r="F305" i="5"/>
  <c r="G297" i="5"/>
  <c r="F297" i="5"/>
  <c r="G289" i="5"/>
  <c r="F289" i="5"/>
  <c r="G281" i="5"/>
  <c r="F281" i="5"/>
  <c r="G273" i="5"/>
  <c r="F273" i="5"/>
  <c r="G265" i="5"/>
  <c r="F265" i="5"/>
  <c r="F237" i="5"/>
  <c r="G237" i="5"/>
  <c r="F197" i="5"/>
  <c r="G197" i="5"/>
  <c r="F133" i="5"/>
  <c r="G133" i="5"/>
  <c r="F69" i="5"/>
  <c r="G69" i="5"/>
  <c r="F364" i="5"/>
  <c r="G364" i="5"/>
  <c r="F316" i="5"/>
  <c r="G316" i="5"/>
  <c r="F227" i="5"/>
  <c r="G227" i="5"/>
  <c r="G398" i="5"/>
  <c r="F398" i="5"/>
  <c r="G390" i="5"/>
  <c r="F390" i="5"/>
  <c r="G382" i="5"/>
  <c r="F382" i="5"/>
  <c r="F374" i="5"/>
  <c r="G374" i="5"/>
  <c r="G366" i="5"/>
  <c r="F366" i="5"/>
  <c r="G358" i="5"/>
  <c r="F358" i="5"/>
  <c r="G350" i="5"/>
  <c r="F350" i="5"/>
  <c r="G342" i="5"/>
  <c r="F342" i="5"/>
  <c r="G334" i="5"/>
  <c r="F334" i="5"/>
  <c r="G326" i="5"/>
  <c r="F326" i="5"/>
  <c r="G318" i="5"/>
  <c r="F318" i="5"/>
  <c r="G310" i="5"/>
  <c r="F310" i="5"/>
  <c r="G302" i="5"/>
  <c r="F302" i="5"/>
  <c r="G294" i="5"/>
  <c r="F294" i="5"/>
  <c r="F286" i="5"/>
  <c r="G286" i="5"/>
  <c r="G278" i="5"/>
  <c r="F278" i="5"/>
  <c r="F270" i="5"/>
  <c r="G270" i="5"/>
  <c r="G262" i="5"/>
  <c r="F262" i="5"/>
  <c r="F259" i="5"/>
  <c r="G259" i="5"/>
  <c r="F235" i="5"/>
  <c r="G235" i="5"/>
  <c r="F173" i="5"/>
  <c r="G173" i="5"/>
  <c r="F109" i="5"/>
  <c r="G109" i="5"/>
  <c r="F45" i="5"/>
  <c r="G45" i="5"/>
  <c r="F372" i="5"/>
  <c r="G372" i="5"/>
  <c r="F308" i="5"/>
  <c r="G308" i="5"/>
  <c r="F395" i="5"/>
  <c r="G395" i="5"/>
  <c r="F387" i="5"/>
  <c r="G387" i="5"/>
  <c r="F379" i="5"/>
  <c r="G379" i="5"/>
  <c r="F371" i="5"/>
  <c r="G371" i="5"/>
  <c r="F363" i="5"/>
  <c r="G363" i="5"/>
  <c r="F355" i="5"/>
  <c r="G355" i="5"/>
  <c r="F347" i="5"/>
  <c r="G347" i="5"/>
  <c r="F339" i="5"/>
  <c r="G339" i="5"/>
  <c r="F331" i="5"/>
  <c r="G331" i="5"/>
  <c r="F323" i="5"/>
  <c r="G323" i="5"/>
  <c r="F315" i="5"/>
  <c r="G315" i="5"/>
  <c r="F307" i="5"/>
  <c r="G307" i="5"/>
  <c r="F299" i="5"/>
  <c r="G299" i="5"/>
  <c r="F291" i="5"/>
  <c r="G291" i="5"/>
  <c r="F283" i="5"/>
  <c r="G283" i="5"/>
  <c r="F275" i="5"/>
  <c r="G275" i="5"/>
  <c r="F267" i="5"/>
  <c r="G267" i="5"/>
  <c r="F253" i="5"/>
  <c r="G253" i="5"/>
  <c r="F245" i="5"/>
  <c r="G245" i="5"/>
  <c r="F213" i="5"/>
  <c r="G213" i="5"/>
  <c r="F149" i="5"/>
  <c r="G149" i="5"/>
  <c r="F85" i="5"/>
  <c r="G85" i="5"/>
  <c r="F21" i="5"/>
  <c r="G21" i="5"/>
  <c r="F380" i="5"/>
  <c r="G380" i="5"/>
  <c r="F348" i="5"/>
  <c r="G348" i="5"/>
  <c r="F300" i="5"/>
  <c r="G300" i="5"/>
  <c r="F276" i="5"/>
  <c r="G276" i="5"/>
  <c r="F400" i="5"/>
  <c r="G400" i="5"/>
  <c r="F392" i="5"/>
  <c r="G392" i="5"/>
  <c r="F384" i="5"/>
  <c r="G384" i="5"/>
  <c r="F376" i="5"/>
  <c r="G376" i="5"/>
  <c r="F368" i="5"/>
  <c r="G368" i="5"/>
  <c r="F360" i="5"/>
  <c r="G360" i="5"/>
  <c r="F352" i="5"/>
  <c r="G352" i="5"/>
  <c r="F344" i="5"/>
  <c r="G344" i="5"/>
  <c r="F336" i="5"/>
  <c r="G336" i="5"/>
  <c r="F328" i="5"/>
  <c r="G328" i="5"/>
  <c r="F320" i="5"/>
  <c r="G320" i="5"/>
  <c r="F312" i="5"/>
  <c r="G312" i="5"/>
  <c r="F304" i="5"/>
  <c r="G304" i="5"/>
  <c r="F296" i="5"/>
  <c r="G296" i="5"/>
  <c r="F288" i="5"/>
  <c r="G288" i="5"/>
  <c r="F280" i="5"/>
  <c r="G280" i="5"/>
  <c r="F272" i="5"/>
  <c r="G272" i="5"/>
  <c r="F264" i="5"/>
  <c r="G264" i="5"/>
  <c r="F252" i="5"/>
  <c r="G252" i="5"/>
  <c r="F243" i="5"/>
  <c r="G243" i="5"/>
  <c r="F189" i="5"/>
  <c r="G189" i="5"/>
  <c r="F125" i="5"/>
  <c r="G125" i="5"/>
  <c r="F61" i="5"/>
  <c r="G61" i="5"/>
  <c r="F356" i="5"/>
  <c r="G356" i="5"/>
  <c r="F324" i="5"/>
  <c r="G324" i="5"/>
  <c r="F260" i="5"/>
  <c r="G260" i="5"/>
  <c r="F93" i="5"/>
  <c r="G93" i="5"/>
  <c r="F397" i="5"/>
  <c r="G397" i="5"/>
  <c r="F389" i="5"/>
  <c r="G389" i="5"/>
  <c r="F381" i="5"/>
  <c r="G381" i="5"/>
  <c r="F373" i="5"/>
  <c r="G373" i="5"/>
  <c r="F365" i="5"/>
  <c r="G365" i="5"/>
  <c r="F357" i="5"/>
  <c r="G357" i="5"/>
  <c r="F349" i="5"/>
  <c r="G349" i="5"/>
  <c r="F341" i="5"/>
  <c r="G341" i="5"/>
  <c r="F333" i="5"/>
  <c r="G333" i="5"/>
  <c r="F325" i="5"/>
  <c r="G325" i="5"/>
  <c r="F317" i="5"/>
  <c r="G317" i="5"/>
  <c r="F309" i="5"/>
  <c r="G309" i="5"/>
  <c r="F301" i="5"/>
  <c r="G301" i="5"/>
  <c r="F293" i="5"/>
  <c r="G293" i="5"/>
  <c r="F285" i="5"/>
  <c r="G285" i="5"/>
  <c r="F277" i="5"/>
  <c r="G277" i="5"/>
  <c r="F269" i="5"/>
  <c r="G269" i="5"/>
  <c r="F261" i="5"/>
  <c r="G261" i="5"/>
  <c r="F251" i="5"/>
  <c r="G251" i="5"/>
  <c r="F221" i="5"/>
  <c r="G221" i="5"/>
  <c r="F165" i="5"/>
  <c r="G165" i="5"/>
  <c r="F101" i="5"/>
  <c r="G101" i="5"/>
  <c r="F37" i="5"/>
  <c r="G37" i="5"/>
  <c r="F388" i="5"/>
  <c r="G388" i="5"/>
  <c r="F268" i="5"/>
  <c r="G268" i="5"/>
  <c r="F157" i="5"/>
  <c r="G157" i="5"/>
  <c r="F394" i="5"/>
  <c r="G394" i="5"/>
  <c r="F386" i="5"/>
  <c r="G386" i="5"/>
  <c r="F378" i="5"/>
  <c r="G378" i="5"/>
  <c r="F370" i="5"/>
  <c r="G370" i="5"/>
  <c r="F362" i="5"/>
  <c r="G362" i="5"/>
  <c r="F354" i="5"/>
  <c r="G354" i="5"/>
  <c r="F346" i="5"/>
  <c r="G346" i="5"/>
  <c r="F338" i="5"/>
  <c r="G338" i="5"/>
  <c r="F330" i="5"/>
  <c r="G330" i="5"/>
  <c r="F322" i="5"/>
  <c r="G322" i="5"/>
  <c r="F314" i="5"/>
  <c r="G314" i="5"/>
  <c r="F306" i="5"/>
  <c r="G306" i="5"/>
  <c r="F298" i="5"/>
  <c r="G298" i="5"/>
  <c r="F290" i="5"/>
  <c r="G290" i="5"/>
  <c r="F282" i="5"/>
  <c r="G282" i="5"/>
  <c r="F274" i="5"/>
  <c r="G274" i="5"/>
  <c r="F266" i="5"/>
  <c r="G266" i="5"/>
  <c r="F219" i="5"/>
  <c r="G219" i="5"/>
  <c r="F205" i="5"/>
  <c r="G205" i="5"/>
  <c r="F141" i="5"/>
  <c r="G141" i="5"/>
  <c r="F77" i="5"/>
  <c r="G77" i="5"/>
  <c r="F13" i="5"/>
  <c r="G13" i="5"/>
  <c r="F340" i="5"/>
  <c r="G340" i="5"/>
  <c r="F284" i="5"/>
  <c r="G284" i="5"/>
  <c r="F399" i="5"/>
  <c r="G399" i="5"/>
  <c r="F391" i="5"/>
  <c r="G391" i="5"/>
  <c r="F383" i="5"/>
  <c r="G383" i="5"/>
  <c r="F375" i="5"/>
  <c r="G375" i="5"/>
  <c r="F367" i="5"/>
  <c r="G367" i="5"/>
  <c r="F359" i="5"/>
  <c r="G359" i="5"/>
  <c r="F351" i="5"/>
  <c r="G351" i="5"/>
  <c r="F343" i="5"/>
  <c r="G343" i="5"/>
  <c r="F335" i="5"/>
  <c r="G335" i="5"/>
  <c r="F327" i="5"/>
  <c r="G327" i="5"/>
  <c r="F319" i="5"/>
  <c r="G319" i="5"/>
  <c r="F311" i="5"/>
  <c r="G311" i="5"/>
  <c r="F303" i="5"/>
  <c r="G303" i="5"/>
  <c r="F295" i="5"/>
  <c r="G295" i="5"/>
  <c r="F287" i="5"/>
  <c r="G287" i="5"/>
  <c r="F279" i="5"/>
  <c r="G279" i="5"/>
  <c r="F271" i="5"/>
  <c r="G271" i="5"/>
  <c r="F263" i="5"/>
  <c r="G263" i="5"/>
  <c r="F229" i="5"/>
  <c r="G229" i="5"/>
  <c r="F181" i="5"/>
  <c r="G181" i="5"/>
  <c r="F117" i="5"/>
  <c r="G117" i="5"/>
  <c r="F53" i="5"/>
  <c r="G53" i="5"/>
  <c r="F258" i="5"/>
  <c r="G258" i="5"/>
  <c r="G250" i="5"/>
  <c r="F250" i="5"/>
  <c r="G242" i="5"/>
  <c r="F242" i="5"/>
  <c r="G234" i="5"/>
  <c r="F234" i="5"/>
  <c r="G226" i="5"/>
  <c r="F226" i="5"/>
  <c r="G218" i="5"/>
  <c r="F218" i="5"/>
  <c r="G210" i="5"/>
  <c r="F210" i="5"/>
  <c r="G202" i="5"/>
  <c r="F202" i="5"/>
  <c r="G194" i="5"/>
  <c r="F194" i="5"/>
  <c r="G186" i="5"/>
  <c r="F186" i="5"/>
  <c r="G178" i="5"/>
  <c r="F178" i="5"/>
  <c r="G170" i="5"/>
  <c r="F170" i="5"/>
  <c r="G162" i="5"/>
  <c r="F162" i="5"/>
  <c r="G154" i="5"/>
  <c r="F154" i="5"/>
  <c r="G146" i="5"/>
  <c r="F146" i="5"/>
  <c r="G138" i="5"/>
  <c r="F138" i="5"/>
  <c r="G130" i="5"/>
  <c r="F130" i="5"/>
  <c r="G122" i="5"/>
  <c r="F122" i="5"/>
  <c r="G114" i="5"/>
  <c r="F114" i="5"/>
  <c r="G106" i="5"/>
  <c r="F106" i="5"/>
  <c r="G98" i="5"/>
  <c r="F98" i="5"/>
  <c r="G90" i="5"/>
  <c r="F90" i="5"/>
  <c r="G82" i="5"/>
  <c r="F82" i="5"/>
  <c r="G74" i="5"/>
  <c r="F74" i="5"/>
  <c r="G66" i="5"/>
  <c r="F66" i="5"/>
  <c r="G58" i="5"/>
  <c r="F58" i="5"/>
  <c r="G50" i="5"/>
  <c r="F50" i="5"/>
  <c r="G42" i="5"/>
  <c r="F42" i="5"/>
  <c r="G34" i="5"/>
  <c r="F34" i="5"/>
  <c r="G26" i="5"/>
  <c r="F26" i="5"/>
  <c r="G18" i="5"/>
  <c r="F18" i="5"/>
  <c r="G10" i="5"/>
  <c r="F10" i="5"/>
  <c r="F255" i="5"/>
  <c r="G255" i="5"/>
  <c r="F247" i="5"/>
  <c r="G247" i="5"/>
  <c r="F239" i="5"/>
  <c r="G239" i="5"/>
  <c r="F231" i="5"/>
  <c r="G231" i="5"/>
  <c r="F223" i="5"/>
  <c r="G223" i="5"/>
  <c r="F215" i="5"/>
  <c r="G215" i="5"/>
  <c r="F207" i="5"/>
  <c r="G207" i="5"/>
  <c r="F199" i="5"/>
  <c r="G199" i="5"/>
  <c r="F191" i="5"/>
  <c r="G191" i="5"/>
  <c r="F183" i="5"/>
  <c r="G183" i="5"/>
  <c r="F175" i="5"/>
  <c r="G175" i="5"/>
  <c r="F167" i="5"/>
  <c r="G167" i="5"/>
  <c r="F159" i="5"/>
  <c r="G159" i="5"/>
  <c r="F151" i="5"/>
  <c r="G151" i="5"/>
  <c r="F143" i="5"/>
  <c r="G143" i="5"/>
  <c r="F135" i="5"/>
  <c r="G135" i="5"/>
  <c r="F127" i="5"/>
  <c r="G127" i="5"/>
  <c r="F119" i="5"/>
  <c r="G119" i="5"/>
  <c r="F111" i="5"/>
  <c r="G111" i="5"/>
  <c r="F103" i="5"/>
  <c r="G103" i="5"/>
  <c r="F95" i="5"/>
  <c r="G95" i="5"/>
  <c r="F87" i="5"/>
  <c r="G87" i="5"/>
  <c r="F79" i="5"/>
  <c r="G79" i="5"/>
  <c r="F71" i="5"/>
  <c r="G71" i="5"/>
  <c r="F63" i="5"/>
  <c r="G63" i="5"/>
  <c r="F55" i="5"/>
  <c r="G55" i="5"/>
  <c r="F47" i="5"/>
  <c r="G47" i="5"/>
  <c r="F39" i="5"/>
  <c r="G39" i="5"/>
  <c r="F31" i="5"/>
  <c r="G31" i="5"/>
  <c r="F23" i="5"/>
  <c r="G23" i="5"/>
  <c r="F15" i="5"/>
  <c r="G15" i="5"/>
  <c r="F244" i="5"/>
  <c r="G244" i="5"/>
  <c r="F236" i="5"/>
  <c r="G236" i="5"/>
  <c r="F228" i="5"/>
  <c r="G228" i="5"/>
  <c r="F220" i="5"/>
  <c r="G220" i="5"/>
  <c r="F212" i="5"/>
  <c r="G212" i="5"/>
  <c r="F204" i="5"/>
  <c r="G204" i="5"/>
  <c r="F196" i="5"/>
  <c r="G196" i="5"/>
  <c r="F188" i="5"/>
  <c r="G188" i="5"/>
  <c r="F180" i="5"/>
  <c r="G180" i="5"/>
  <c r="F172" i="5"/>
  <c r="G172" i="5"/>
  <c r="F164" i="5"/>
  <c r="G164" i="5"/>
  <c r="F156" i="5"/>
  <c r="G156" i="5"/>
  <c r="F148" i="5"/>
  <c r="G148" i="5"/>
  <c r="F140" i="5"/>
  <c r="G140" i="5"/>
  <c r="F132" i="5"/>
  <c r="G132" i="5"/>
  <c r="F124" i="5"/>
  <c r="G124" i="5"/>
  <c r="F116" i="5"/>
  <c r="G116" i="5"/>
  <c r="F108" i="5"/>
  <c r="G108" i="5"/>
  <c r="F100" i="5"/>
  <c r="G100" i="5"/>
  <c r="F92" i="5"/>
  <c r="G92" i="5"/>
  <c r="F84" i="5"/>
  <c r="G84" i="5"/>
  <c r="F76" i="5"/>
  <c r="G76" i="5"/>
  <c r="F68" i="5"/>
  <c r="G68" i="5"/>
  <c r="F60" i="5"/>
  <c r="G60" i="5"/>
  <c r="F52" i="5"/>
  <c r="G52" i="5"/>
  <c r="F44" i="5"/>
  <c r="G44" i="5"/>
  <c r="F36" i="5"/>
  <c r="G36" i="5"/>
  <c r="F28" i="5"/>
  <c r="G28" i="5"/>
  <c r="F20" i="5"/>
  <c r="G20" i="5"/>
  <c r="F12" i="5"/>
  <c r="G12" i="5"/>
  <c r="F257" i="5"/>
  <c r="G257" i="5"/>
  <c r="G249" i="5"/>
  <c r="F249" i="5"/>
  <c r="F241" i="5"/>
  <c r="G241" i="5"/>
  <c r="F233" i="5"/>
  <c r="G233" i="5"/>
  <c r="F225" i="5"/>
  <c r="G225" i="5"/>
  <c r="F217" i="5"/>
  <c r="G217" i="5"/>
  <c r="F209" i="5"/>
  <c r="G209" i="5"/>
  <c r="F201" i="5"/>
  <c r="G201" i="5"/>
  <c r="F193" i="5"/>
  <c r="G193" i="5"/>
  <c r="F185" i="5"/>
  <c r="G185" i="5"/>
  <c r="F177" i="5"/>
  <c r="G177" i="5"/>
  <c r="F169" i="5"/>
  <c r="G169" i="5"/>
  <c r="F161" i="5"/>
  <c r="G161" i="5"/>
  <c r="F153" i="5"/>
  <c r="G153" i="5"/>
  <c r="F145" i="5"/>
  <c r="G145" i="5"/>
  <c r="F137" i="5"/>
  <c r="G137" i="5"/>
  <c r="F129" i="5"/>
  <c r="G129" i="5"/>
  <c r="F121" i="5"/>
  <c r="G121" i="5"/>
  <c r="F113" i="5"/>
  <c r="G113" i="5"/>
  <c r="F105" i="5"/>
  <c r="G105" i="5"/>
  <c r="F97" i="5"/>
  <c r="G97" i="5"/>
  <c r="F89" i="5"/>
  <c r="G89" i="5"/>
  <c r="F81" i="5"/>
  <c r="G81" i="5"/>
  <c r="F73" i="5"/>
  <c r="G73" i="5"/>
  <c r="F65" i="5"/>
  <c r="G65" i="5"/>
  <c r="F57" i="5"/>
  <c r="G57" i="5"/>
  <c r="F49" i="5"/>
  <c r="G49" i="5"/>
  <c r="F41" i="5"/>
  <c r="G41" i="5"/>
  <c r="F33" i="5"/>
  <c r="G33" i="5"/>
  <c r="F25" i="5"/>
  <c r="G25" i="5"/>
  <c r="F17" i="5"/>
  <c r="G17" i="5"/>
  <c r="F9" i="5"/>
  <c r="G9" i="5"/>
  <c r="F254" i="5"/>
  <c r="G254" i="5"/>
  <c r="F246" i="5"/>
  <c r="G246" i="5"/>
  <c r="F238" i="5"/>
  <c r="G238" i="5"/>
  <c r="F230" i="5"/>
  <c r="G230" i="5"/>
  <c r="F222" i="5"/>
  <c r="G222" i="5"/>
  <c r="F214" i="5"/>
  <c r="G214" i="5"/>
  <c r="F206" i="5"/>
  <c r="G206" i="5"/>
  <c r="F198" i="5"/>
  <c r="G198" i="5"/>
  <c r="F190" i="5"/>
  <c r="G190" i="5"/>
  <c r="F182" i="5"/>
  <c r="G182" i="5"/>
  <c r="F174" i="5"/>
  <c r="G174" i="5"/>
  <c r="F166" i="5"/>
  <c r="G166" i="5"/>
  <c r="F158" i="5"/>
  <c r="G158" i="5"/>
  <c r="F150" i="5"/>
  <c r="G150" i="5"/>
  <c r="F142" i="5"/>
  <c r="G142" i="5"/>
  <c r="F134" i="5"/>
  <c r="G134" i="5"/>
  <c r="F126" i="5"/>
  <c r="G126" i="5"/>
  <c r="F118" i="5"/>
  <c r="G118" i="5"/>
  <c r="F110" i="5"/>
  <c r="G110" i="5"/>
  <c r="F102" i="5"/>
  <c r="G102" i="5"/>
  <c r="F94" i="5"/>
  <c r="G94" i="5"/>
  <c r="F86" i="5"/>
  <c r="G86" i="5"/>
  <c r="F78" i="5"/>
  <c r="G78" i="5"/>
  <c r="F70" i="5"/>
  <c r="G70" i="5"/>
  <c r="F62" i="5"/>
  <c r="G62" i="5"/>
  <c r="F54" i="5"/>
  <c r="G54" i="5"/>
  <c r="F46" i="5"/>
  <c r="G46" i="5"/>
  <c r="F38" i="5"/>
  <c r="G38" i="5"/>
  <c r="F30" i="5"/>
  <c r="G30" i="5"/>
  <c r="F22" i="5"/>
  <c r="G22" i="5"/>
  <c r="F14" i="5"/>
  <c r="G14" i="5"/>
  <c r="F211" i="5"/>
  <c r="G211" i="5"/>
  <c r="F203" i="5"/>
  <c r="G203" i="5"/>
  <c r="F195" i="5"/>
  <c r="G195" i="5"/>
  <c r="F187" i="5"/>
  <c r="G187" i="5"/>
  <c r="F179" i="5"/>
  <c r="G179" i="5"/>
  <c r="F171" i="5"/>
  <c r="G171" i="5"/>
  <c r="F163" i="5"/>
  <c r="G163" i="5"/>
  <c r="F155" i="5"/>
  <c r="G155" i="5"/>
  <c r="F147" i="5"/>
  <c r="G147" i="5"/>
  <c r="F139" i="5"/>
  <c r="G139" i="5"/>
  <c r="F131" i="5"/>
  <c r="G131" i="5"/>
  <c r="F123" i="5"/>
  <c r="G123" i="5"/>
  <c r="F115" i="5"/>
  <c r="G115" i="5"/>
  <c r="F107" i="5"/>
  <c r="G107" i="5"/>
  <c r="F99" i="5"/>
  <c r="G99" i="5"/>
  <c r="F91" i="5"/>
  <c r="G91" i="5"/>
  <c r="F83" i="5"/>
  <c r="G83" i="5"/>
  <c r="F75" i="5"/>
  <c r="G75" i="5"/>
  <c r="F67" i="5"/>
  <c r="G67" i="5"/>
  <c r="F59" i="5"/>
  <c r="G59" i="5"/>
  <c r="F51" i="5"/>
  <c r="G51" i="5"/>
  <c r="F43" i="5"/>
  <c r="G43" i="5"/>
  <c r="F35" i="5"/>
  <c r="G35" i="5"/>
  <c r="F27" i="5"/>
  <c r="G27" i="5"/>
  <c r="F19" i="5"/>
  <c r="G19" i="5"/>
  <c r="F11" i="5"/>
  <c r="G11" i="5"/>
  <c r="G256" i="5"/>
  <c r="F256" i="5"/>
  <c r="G248" i="5"/>
  <c r="F248" i="5"/>
  <c r="G240" i="5"/>
  <c r="F240" i="5"/>
  <c r="G232" i="5"/>
  <c r="F232" i="5"/>
  <c r="G224" i="5"/>
  <c r="F224" i="5"/>
  <c r="G216" i="5"/>
  <c r="F216" i="5"/>
  <c r="F208" i="5"/>
  <c r="G208" i="5"/>
  <c r="F200" i="5"/>
  <c r="G200" i="5"/>
  <c r="F192" i="5"/>
  <c r="G192" i="5"/>
  <c r="F184" i="5"/>
  <c r="G184" i="5"/>
  <c r="F176" i="5"/>
  <c r="G176" i="5"/>
  <c r="F168" i="5"/>
  <c r="G168" i="5"/>
  <c r="F160" i="5"/>
  <c r="G160" i="5"/>
  <c r="F152" i="5"/>
  <c r="G152" i="5"/>
  <c r="F144" i="5"/>
  <c r="G144" i="5"/>
  <c r="F136" i="5"/>
  <c r="G136" i="5"/>
  <c r="F128" i="5"/>
  <c r="G128" i="5"/>
  <c r="F120" i="5"/>
  <c r="G120" i="5"/>
  <c r="F112" i="5"/>
  <c r="G112" i="5"/>
  <c r="F104" i="5"/>
  <c r="G104" i="5"/>
  <c r="F96" i="5"/>
  <c r="G96" i="5"/>
  <c r="F88" i="5"/>
  <c r="G88" i="5"/>
  <c r="F80" i="5"/>
  <c r="G80" i="5"/>
  <c r="F72" i="5"/>
  <c r="G72" i="5"/>
  <c r="F64" i="5"/>
  <c r="G64" i="5"/>
  <c r="F56" i="5"/>
  <c r="G56" i="5"/>
  <c r="F48" i="5"/>
  <c r="G48" i="5"/>
  <c r="F40" i="5"/>
  <c r="G40" i="5"/>
  <c r="F32" i="5"/>
  <c r="G32" i="5"/>
  <c r="F24" i="5"/>
  <c r="G24" i="5"/>
  <c r="F16" i="5"/>
  <c r="G16" i="5"/>
  <c r="F8" i="5"/>
  <c r="G8" i="5"/>
  <c r="M14" i="5"/>
  <c r="K36" i="5"/>
  <c r="R35" i="5"/>
  <c r="M30" i="5"/>
  <c r="K12" i="5"/>
  <c r="R11" i="5"/>
  <c r="K28" i="5"/>
  <c r="R27" i="5"/>
  <c r="M22" i="5"/>
  <c r="M39" i="5"/>
  <c r="K37" i="5"/>
  <c r="R36" i="5"/>
  <c r="M31" i="5"/>
  <c r="K29" i="5"/>
  <c r="R28" i="5"/>
  <c r="M23" i="5"/>
  <c r="K21" i="5"/>
  <c r="R20" i="5"/>
  <c r="M15" i="5"/>
  <c r="K13" i="5"/>
  <c r="R12" i="5"/>
  <c r="R7" i="5"/>
  <c r="K38" i="5"/>
  <c r="R37" i="5"/>
  <c r="M32" i="5"/>
  <c r="K30" i="5"/>
  <c r="R29" i="5"/>
  <c r="M24" i="5"/>
  <c r="K22" i="5"/>
  <c r="R21" i="5"/>
  <c r="M16" i="5"/>
  <c r="K14" i="5"/>
  <c r="R13" i="5"/>
  <c r="M8" i="5"/>
  <c r="K39" i="5"/>
  <c r="R38" i="5"/>
  <c r="M33" i="5"/>
  <c r="K31" i="5"/>
  <c r="R30" i="5"/>
  <c r="M25" i="5"/>
  <c r="K23" i="5"/>
  <c r="R22" i="5"/>
  <c r="M17" i="5"/>
  <c r="K15" i="5"/>
  <c r="R14" i="5"/>
  <c r="M9" i="5"/>
  <c r="R39" i="5"/>
  <c r="M34" i="5"/>
  <c r="K32" i="5"/>
  <c r="R31" i="5"/>
  <c r="M26" i="5"/>
  <c r="K24" i="5"/>
  <c r="R23" i="5"/>
  <c r="M18" i="5"/>
  <c r="K16" i="5"/>
  <c r="R15" i="5"/>
  <c r="M10" i="5"/>
  <c r="K8" i="5"/>
  <c r="K7" i="5"/>
  <c r="M35" i="5"/>
  <c r="K33" i="5"/>
  <c r="R32" i="5"/>
  <c r="M27" i="5"/>
  <c r="K25" i="5"/>
  <c r="R24" i="5"/>
  <c r="M19" i="5"/>
  <c r="K17" i="5"/>
  <c r="R16" i="5"/>
  <c r="M11" i="5"/>
  <c r="K9" i="5"/>
  <c r="R8" i="5"/>
  <c r="M36" i="5"/>
  <c r="K34" i="5"/>
  <c r="R33" i="5"/>
  <c r="M28" i="5"/>
  <c r="K26" i="5"/>
  <c r="R25" i="5"/>
  <c r="M20" i="5"/>
  <c r="K18" i="5"/>
  <c r="R17" i="5"/>
  <c r="M12" i="5"/>
  <c r="K10" i="5"/>
  <c r="R9" i="5"/>
  <c r="M7" i="5"/>
  <c r="M37" i="5"/>
  <c r="K35" i="5"/>
  <c r="R34" i="5"/>
  <c r="M29" i="5"/>
  <c r="K27" i="5"/>
  <c r="R26" i="5"/>
  <c r="M21" i="5"/>
  <c r="K19" i="5"/>
  <c r="R18" i="5"/>
  <c r="E7" i="5"/>
  <c r="G7" i="5"/>
  <c r="F7" i="5" l="1"/>
</calcChain>
</file>

<file path=xl/sharedStrings.xml><?xml version="1.0" encoding="utf-8"?>
<sst xmlns="http://schemas.openxmlformats.org/spreadsheetml/2006/main" count="264" uniqueCount="180">
  <si>
    <t>Environment</t>
  </si>
  <si>
    <t>Production</t>
  </si>
  <si>
    <t>prd</t>
  </si>
  <si>
    <t>Staging</t>
  </si>
  <si>
    <t>stg</t>
  </si>
  <si>
    <t>Development</t>
  </si>
  <si>
    <t>dev</t>
  </si>
  <si>
    <t>Azure Region</t>
  </si>
  <si>
    <t>Computed Name</t>
  </si>
  <si>
    <t>Resource Group</t>
  </si>
  <si>
    <t>Availability Set</t>
  </si>
  <si>
    <t>Virtual Machine</t>
  </si>
  <si>
    <t>Network Interface</t>
  </si>
  <si>
    <t>Network Security Group</t>
  </si>
  <si>
    <t>Network Security Group Rule</t>
  </si>
  <si>
    <t>Public IP Address</t>
  </si>
  <si>
    <t>Load Balancer</t>
  </si>
  <si>
    <t>Traffic Manager Profile</t>
  </si>
  <si>
    <t>Storage Account</t>
  </si>
  <si>
    <t>Virtual Network</t>
  </si>
  <si>
    <t>Application Gateway</t>
  </si>
  <si>
    <t>App Service</t>
  </si>
  <si>
    <t>Key Vault</t>
  </si>
  <si>
    <t>East US</t>
  </si>
  <si>
    <t>East US 2</t>
  </si>
  <si>
    <t>Central US</t>
  </si>
  <si>
    <t>North Central US</t>
  </si>
  <si>
    <t>West Central US</t>
  </si>
  <si>
    <t>West US</t>
  </si>
  <si>
    <t>West US 2</t>
  </si>
  <si>
    <t>Canada East</t>
  </si>
  <si>
    <t>Canada Central</t>
  </si>
  <si>
    <t>Brazil South</t>
  </si>
  <si>
    <t>North Europe</t>
  </si>
  <si>
    <t>West Europe</t>
  </si>
  <si>
    <t>Germany Central</t>
  </si>
  <si>
    <t>Germany Northeast</t>
  </si>
  <si>
    <t>UK West</t>
  </si>
  <si>
    <t>UK South</t>
  </si>
  <si>
    <t>France Central</t>
  </si>
  <si>
    <t>France South</t>
  </si>
  <si>
    <t>Southeast Asia</t>
  </si>
  <si>
    <t>East Asia</t>
  </si>
  <si>
    <t>Australia East</t>
  </si>
  <si>
    <t>Australia Southeast</t>
  </si>
  <si>
    <t>China East</t>
  </si>
  <si>
    <t>China North</t>
  </si>
  <si>
    <t>Central India</t>
  </si>
  <si>
    <t>West India</t>
  </si>
  <si>
    <t>South India</t>
  </si>
  <si>
    <t>Japan East</t>
  </si>
  <si>
    <t>Japan West</t>
  </si>
  <si>
    <t>Korea Central</t>
  </si>
  <si>
    <t>Korea South</t>
  </si>
  <si>
    <t>rg</t>
  </si>
  <si>
    <t>as</t>
  </si>
  <si>
    <t>vm</t>
  </si>
  <si>
    <t>nsg</t>
  </si>
  <si>
    <t>lb</t>
  </si>
  <si>
    <t>tmp</t>
  </si>
  <si>
    <t>kv</t>
  </si>
  <si>
    <t>avs</t>
  </si>
  <si>
    <t>vnet</t>
  </si>
  <si>
    <t>nif</t>
  </si>
  <si>
    <t>Encoding</t>
  </si>
  <si>
    <t>storage</t>
  </si>
  <si>
    <t>publicip</t>
  </si>
  <si>
    <t>App Service Plan</t>
  </si>
  <si>
    <t>asp</t>
  </si>
  <si>
    <t>Azure Regions</t>
  </si>
  <si>
    <t>Geo ID</t>
  </si>
  <si>
    <t>Datacenter ID</t>
  </si>
  <si>
    <t>us</t>
  </si>
  <si>
    <t>ca</t>
  </si>
  <si>
    <t>br</t>
  </si>
  <si>
    <t>eu</t>
  </si>
  <si>
    <t>uk</t>
  </si>
  <si>
    <t>fr</t>
  </si>
  <si>
    <t>au</t>
  </si>
  <si>
    <t>cn</t>
  </si>
  <si>
    <t>in</t>
  </si>
  <si>
    <t>jp</t>
  </si>
  <si>
    <t>kr</t>
  </si>
  <si>
    <t>de</t>
  </si>
  <si>
    <t>e</t>
  </si>
  <si>
    <t>e2</t>
  </si>
  <si>
    <t>c</t>
  </si>
  <si>
    <t>cw</t>
  </si>
  <si>
    <t>w</t>
  </si>
  <si>
    <t>w2</t>
  </si>
  <si>
    <t>s</t>
  </si>
  <si>
    <t>n</t>
  </si>
  <si>
    <t>ne</t>
  </si>
  <si>
    <t>se</t>
  </si>
  <si>
    <t>Geo Short Code</t>
  </si>
  <si>
    <t>Datacenter Short Code</t>
  </si>
  <si>
    <t>Guidelines</t>
  </si>
  <si>
    <t>Each datacenter within a region should be incremented by either 4 or 8 based on the major territory (e.g. east, west, etc.) within the region. Subterritories, such as North Central, should increment by one from the territory.</t>
  </si>
  <si>
    <t>Environments</t>
  </si>
  <si>
    <t>Environment Name</t>
  </si>
  <si>
    <t>Short Code</t>
  </si>
  <si>
    <t>Long Code</t>
  </si>
  <si>
    <t>ID</t>
  </si>
  <si>
    <t>Test</t>
  </si>
  <si>
    <t>d</t>
  </si>
  <si>
    <t>t</t>
  </si>
  <si>
    <t>p</t>
  </si>
  <si>
    <t>test</t>
  </si>
  <si>
    <t>Resource Type</t>
  </si>
  <si>
    <t>Character Limit</t>
  </si>
  <si>
    <t>Validation Expression</t>
  </si>
  <si>
    <t>Cosmos DB</t>
  </si>
  <si>
    <t>Azure SQL Server</t>
  </si>
  <si>
    <t>Azure Search</t>
  </si>
  <si>
    <t>OMS Workspace</t>
  </si>
  <si>
    <t>App Service Environment</t>
  </si>
  <si>
    <t>^[a-zA-Z0-9_-]{1,64}$</t>
  </si>
  <si>
    <t>^[a-zA-Z0-9_-]{1,80}$</t>
  </si>
  <si>
    <t>^[a-zA-Z0-9_-]{1,40}$</t>
  </si>
  <si>
    <t>^[a-zA-Z0-9_-]{1,15}$</t>
  </si>
  <si>
    <t>^[a-zA-Z0-9]{3,24}$</t>
  </si>
  <si>
    <t>Top Level Resource Types</t>
  </si>
  <si>
    <t>^[a-zA-Z0-9_-\.]{2,64}$</t>
  </si>
  <si>
    <t>^[a-zA-Z0-9_-\.]{1,80}$</t>
  </si>
  <si>
    <t>^[a-zA-Z0-9_-\.]{1,63}$</t>
  </si>
  <si>
    <t>^[a-zA-Z0-9-]{1,38}$</t>
  </si>
  <si>
    <t>^(?!-)[a-zA-Z0-9]{1,63}(?&lt;!-)$</t>
  </si>
  <si>
    <t>^(?![0-9-])[a-zA-Z0-9-]{1,24}(?&lt;![-])$</t>
  </si>
  <si>
    <t>^(?![0-9-])[a-zA-Z0-9-]{4,24}(?&lt;![-])$</t>
  </si>
  <si>
    <t>^[a-zA-Z0-9]{1,50}$</t>
  </si>
  <si>
    <t>^(?!-)(?!.-)((?!-{2})([a-z0-9-])){0,60}(?&lt;!-)$</t>
  </si>
  <si>
    <t>vn</t>
  </si>
  <si>
    <t>cdb</t>
  </si>
  <si>
    <t>ase</t>
  </si>
  <si>
    <t>oms</t>
  </si>
  <si>
    <t>netsecgrp</t>
  </si>
  <si>
    <t>netiface</t>
  </si>
  <si>
    <t>avset</t>
  </si>
  <si>
    <t>loadbalancer</t>
  </si>
  <si>
    <t>cosmosdb</t>
  </si>
  <si>
    <t>ip</t>
  </si>
  <si>
    <t>sql</t>
  </si>
  <si>
    <t>netsecgrprule</t>
  </si>
  <si>
    <t>agw</t>
  </si>
  <si>
    <t>appgateway</t>
  </si>
  <si>
    <t>appplan</t>
  </si>
  <si>
    <t>trafficmgrprof</t>
  </si>
  <si>
    <t>svc</t>
  </si>
  <si>
    <t>appsvc</t>
  </si>
  <si>
    <t>srch</t>
  </si>
  <si>
    <t>search</t>
  </si>
  <si>
    <t>appenv</t>
  </si>
  <si>
    <t>Scope</t>
  </si>
  <si>
    <t>Global</t>
  </si>
  <si>
    <t>Organization Name</t>
  </si>
  <si>
    <t>Project / Product Name</t>
  </si>
  <si>
    <t>Name Format</t>
  </si>
  <si>
    <t>Azure Service</t>
  </si>
  <si>
    <t>Environment Short Code</t>
  </si>
  <si>
    <t>Environment Long Code</t>
  </si>
  <si>
    <t>Environment ID</t>
  </si>
  <si>
    <t>Region Name</t>
  </si>
  <si>
    <t>Region Short Code</t>
  </si>
  <si>
    <t>Region Geo ID</t>
  </si>
  <si>
    <t>Region Datacenter ID</t>
  </si>
  <si>
    <t>Region Encoded ID</t>
  </si>
  <si>
    <t>Azure Service Name</t>
  </si>
  <si>
    <t>Azure Service Short Code</t>
  </si>
  <si>
    <t>Azure Service Long Code</t>
  </si>
  <si>
    <t>Azure Service ID</t>
  </si>
  <si>
    <t>testorg</t>
  </si>
  <si>
    <t>Region Geo</t>
  </si>
  <si>
    <t>Region Datacenter</t>
  </si>
  <si>
    <t>Remaining Characters</t>
  </si>
  <si>
    <t>testproduct</t>
  </si>
  <si>
    <t>DEBUG</t>
  </si>
  <si>
    <t>Meets Name Format</t>
  </si>
  <si>
    <t>someapi</t>
  </si>
  <si>
    <t>Component</t>
  </si>
  <si>
    <t>{component}-{environmentShortCode}-{regionShortCode}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</si>
</sst>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22"/>
      <color theme="1"/>
      <name val="Segoe UI Light"/>
      <family val="2"/>
    </font>
    <font>
      <sz val="14"/>
      <color theme="1"/>
      <name val="Segoe UI Light"/>
      <family val="2"/>
    </font>
    <font>
      <sz val="14"/>
      <color theme="0"/>
      <name val="Segoe UI Light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1" fontId="1" fillId="0" borderId="0" xfId="0" applyNumberFormat="1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  <xf numFmtId="0" fontId="3" fillId="0" borderId="0" xfId="0" applyFont="1"/>
    <xf numFmtId="0" fontId="4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</cellXfs>
  <cellStyles count="1">
    <cellStyle name="Normal" xfId="0" builtinId="0"/>
  </cellStyles>
  <dxfs count="2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00"/>
  <sheetViews>
    <sheetView tabSelected="1" workbookViewId="0">
      <selection activeCell="B4" sqref="B4"/>
    </sheetView>
  </sheetViews>
  <sheetFormatPr defaultRowHeight="16.5" x14ac:dyDescent="0.3"/>
  <cols>
    <col min="1" max="1" width="38.85546875" style="3" customWidth="1"/>
    <col min="2" max="4" width="24" style="3" customWidth="1"/>
    <col min="5" max="5" width="104.28515625" style="3" customWidth="1"/>
    <col min="6" max="6" width="28.7109375" style="3" customWidth="1"/>
    <col min="7" max="7" width="33.140625" style="3" customWidth="1"/>
    <col min="8" max="11" width="22.7109375" style="3" hidden="1" customWidth="1"/>
    <col min="12" max="17" width="23.28515625" style="3" hidden="1" customWidth="1"/>
    <col min="18" max="18" width="23.28515625" style="4" hidden="1" customWidth="1"/>
    <col min="19" max="22" width="23.42578125" style="3" hidden="1" customWidth="1"/>
    <col min="23" max="16384" width="9.140625" style="3"/>
  </cols>
  <sheetData>
    <row r="1" spans="1:22" ht="20.25" x14ac:dyDescent="0.35">
      <c r="A1" s="8" t="s">
        <v>154</v>
      </c>
      <c r="B1" s="11" t="s">
        <v>170</v>
      </c>
      <c r="C1" s="11"/>
      <c r="D1" s="11"/>
      <c r="E1" s="11"/>
    </row>
    <row r="2" spans="1:22" ht="20.25" x14ac:dyDescent="0.35">
      <c r="A2" s="8" t="s">
        <v>155</v>
      </c>
      <c r="B2" s="11" t="s">
        <v>174</v>
      </c>
      <c r="C2" s="11"/>
      <c r="D2" s="11"/>
      <c r="E2" s="11"/>
    </row>
    <row r="3" spans="1:22" ht="20.25" x14ac:dyDescent="0.35">
      <c r="A3" s="8" t="s">
        <v>156</v>
      </c>
      <c r="B3" s="11" t="s">
        <v>179</v>
      </c>
      <c r="C3" s="11"/>
      <c r="D3" s="11"/>
      <c r="E3" s="11"/>
    </row>
    <row r="5" spans="1:22" x14ac:dyDescent="0.3">
      <c r="H5" s="10" t="s">
        <v>175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</row>
    <row r="6" spans="1:22" ht="20.25" x14ac:dyDescent="0.35">
      <c r="A6" s="9" t="s">
        <v>0</v>
      </c>
      <c r="B6" s="9" t="s">
        <v>178</v>
      </c>
      <c r="C6" s="9" t="s">
        <v>7</v>
      </c>
      <c r="D6" s="9" t="s">
        <v>157</v>
      </c>
      <c r="E6" s="9" t="s">
        <v>8</v>
      </c>
      <c r="F6" s="9" t="s">
        <v>173</v>
      </c>
      <c r="G6" s="9" t="s">
        <v>176</v>
      </c>
      <c r="H6" s="2" t="s">
        <v>99</v>
      </c>
      <c r="I6" s="2" t="s">
        <v>158</v>
      </c>
      <c r="J6" s="2" t="s">
        <v>159</v>
      </c>
      <c r="K6" s="2" t="s">
        <v>160</v>
      </c>
      <c r="L6" s="2" t="s">
        <v>161</v>
      </c>
      <c r="M6" s="2" t="s">
        <v>162</v>
      </c>
      <c r="N6" s="2" t="s">
        <v>171</v>
      </c>
      <c r="O6" s="2" t="s">
        <v>172</v>
      </c>
      <c r="P6" s="2" t="s">
        <v>163</v>
      </c>
      <c r="Q6" s="2" t="s">
        <v>164</v>
      </c>
      <c r="R6" s="2" t="s">
        <v>165</v>
      </c>
      <c r="S6" s="3" t="s">
        <v>166</v>
      </c>
      <c r="T6" s="3" t="s">
        <v>167</v>
      </c>
      <c r="U6" s="3" t="s">
        <v>168</v>
      </c>
      <c r="V6" s="3" t="s">
        <v>169</v>
      </c>
    </row>
    <row r="7" spans="1:22" x14ac:dyDescent="0.3">
      <c r="A7" s="3" t="s">
        <v>1</v>
      </c>
      <c r="B7" s="3" t="s">
        <v>177</v>
      </c>
      <c r="C7" s="3" t="s">
        <v>28</v>
      </c>
      <c r="D7" s="3" t="s">
        <v>21</v>
      </c>
      <c r="E7" s="3" t="str">
        <f>IFERROR(ComputeResourceName($B$3,$B$2,$B$1,B7,H7,I7,J7,K7,L7,N7,O7,M7,R7,S7,T7,U7,V7,0),"")</f>
        <v>someapi-p-us-w</v>
      </c>
      <c r="F7" s="3">
        <f xml:space="preserve"> IF(E7="","",  IFERROR(VLOOKUP(D7,LookupLists!$N$3:$T$60,6,FALSE)-LEN(E7),0))</f>
        <v>26</v>
      </c>
      <c r="G7" s="3" t="b">
        <f>IF(E7="","",IFERROR(matches(E7,VLOOKUP(D7,LookupLists!$N$3:$T$60,7,FALSE)),FALSE))</f>
        <v>1</v>
      </c>
      <c r="H7" s="3" t="str">
        <f>VLOOKUP(A7,LookupLists!$I$3:$L$60,1,FALSE)</f>
        <v>Production</v>
      </c>
      <c r="I7" s="3" t="str">
        <f>VLOOKUP(A7,LookupLists!$I$3:$L$60,2,FALSE)</f>
        <v>p</v>
      </c>
      <c r="J7" s="3" t="str">
        <f>VLOOKUP(A7,LookupLists!$I$3:$L$60,3,FALSE)</f>
        <v>prd</v>
      </c>
      <c r="K7" s="3">
        <f>VLOOKUP(A7,LookupLists!$I$3:$L$60,4,FALSE)</f>
        <v>4</v>
      </c>
      <c r="L7" s="3" t="str">
        <f>VLOOKUP(C7,LookupLists!$A$3:$G$60,1,FALSE)</f>
        <v>West US</v>
      </c>
      <c r="M7" s="3" t="str">
        <f>VLOOKUP(C7,LookupLists!$A$3:$G$60,4,FALSE)</f>
        <v>us-w</v>
      </c>
      <c r="N7" s="3" t="str">
        <f>VLOOKUP(C7,LookupLists!$A$3:$G$60,2,FALSE)</f>
        <v>us</v>
      </c>
      <c r="O7" s="3" t="str">
        <f>VLOOKUP(C7,LookupLists!$A$3:$G$60,3,FALSE)</f>
        <v>w</v>
      </c>
      <c r="P7" s="3">
        <f>VLOOKUP(C7,LookupLists!$A$3:$G$60,5,FALSE)</f>
        <v>16</v>
      </c>
      <c r="Q7" s="3">
        <f>VLOOKUP(C7,LookupLists!$A$3:$G$60,6,FALSE)</f>
        <v>8</v>
      </c>
      <c r="R7" s="4" t="str">
        <f>VLOOKUP(C7,LookupLists!$A$3:$G$60,7,FALSE)</f>
        <v>18</v>
      </c>
      <c r="S7" s="3" t="str">
        <f>VLOOKUP(D7,LookupLists!$N$4:$T$60,1,FALSE)</f>
        <v>App Service</v>
      </c>
      <c r="T7" s="3" t="str">
        <f>VLOOKUP(D7,LookupLists!$N$4:$T$60,2,FALSE)</f>
        <v>svc</v>
      </c>
      <c r="U7" s="3" t="str">
        <f>VLOOKUP(D7,LookupLists!$N$4:$T$60,3,FALSE)</f>
        <v>appsvc</v>
      </c>
      <c r="V7" s="3">
        <f>VLOOKUP(D7,LookupLists!$N$4:$T$60,5,FALSE)</f>
        <v>0</v>
      </c>
    </row>
    <row r="8" spans="1:22" x14ac:dyDescent="0.3">
      <c r="E8" s="3" t="str">
        <f t="shared" ref="E8:E71" si="0">IFERROR(ComputeResourceName($B$3,$B$2,$B$1,B8,H8,I8,J8,K8,L8,N8,O8,M8,R8,S8,T8,U8,V8,0),"")</f>
        <v/>
      </c>
      <c r="F8" s="3" t="str">
        <f xml:space="preserve"> IF(E8="","",  IFERROR(VLOOKUP(D8,LookupLists!$N$3:$T$60,6,FALSE)-LEN(E8),0))</f>
        <v/>
      </c>
      <c r="G8" s="3" t="str">
        <f>IF(E8="","",IFERROR(matches(E8,VLOOKUP(D8,LookupLists!$N$3:$T$60,7,FALSE)),FALSE))</f>
        <v/>
      </c>
      <c r="H8" s="3" t="e">
        <f>VLOOKUP(A8,LookupLists!$I$3:$L$60,1,FALSE)</f>
        <v>#N/A</v>
      </c>
      <c r="I8" s="3" t="e">
        <f>VLOOKUP(A8,LookupLists!$I$3:$L$60,2,FALSE)</f>
        <v>#N/A</v>
      </c>
      <c r="J8" s="3" t="e">
        <f>VLOOKUP(A8,LookupLists!$I$3:$L$60,3,FALSE)</f>
        <v>#N/A</v>
      </c>
      <c r="K8" s="3" t="e">
        <f>VLOOKUP(A8,LookupLists!$I$3:$L$60,4,FALSE)</f>
        <v>#N/A</v>
      </c>
      <c r="L8" s="3" t="e">
        <f>VLOOKUP(C8,LookupLists!$A$3:$G$60,1,FALSE)</f>
        <v>#N/A</v>
      </c>
      <c r="M8" s="3" t="e">
        <f>VLOOKUP(C8,LookupLists!$A$3:$G$60,4,FALSE)</f>
        <v>#N/A</v>
      </c>
      <c r="N8" s="3" t="e">
        <f>VLOOKUP(C8,LookupLists!$A$3:$G$60,2,FALSE)</f>
        <v>#N/A</v>
      </c>
      <c r="O8" s="3" t="e">
        <f>VLOOKUP(C8,LookupLists!$A$3:$G$60,3,FALSE)</f>
        <v>#N/A</v>
      </c>
      <c r="P8" s="3" t="e">
        <f>VLOOKUP(C8,LookupLists!$A$3:$G$60,5,FALSE)</f>
        <v>#N/A</v>
      </c>
      <c r="Q8" s="3" t="e">
        <f>VLOOKUP(C8,LookupLists!$A$3:$G$60,6,FALSE)</f>
        <v>#N/A</v>
      </c>
      <c r="R8" s="4" t="e">
        <f>VLOOKUP(C8,LookupLists!$A$3:$G$60,7,FALSE)</f>
        <v>#N/A</v>
      </c>
      <c r="S8" s="3" t="e">
        <f>VLOOKUP(D8,LookupLists!$N$4:$T$60,1,FALSE)</f>
        <v>#N/A</v>
      </c>
      <c r="T8" s="3" t="e">
        <f>VLOOKUP(D8,LookupLists!$N$4:$T$60,2,FALSE)</f>
        <v>#N/A</v>
      </c>
      <c r="U8" s="3" t="e">
        <f>VLOOKUP(D8,LookupLists!$N$4:$T$60,3,FALSE)</f>
        <v>#N/A</v>
      </c>
      <c r="V8" s="3" t="e">
        <f>VLOOKUP(D8,LookupLists!$N$4:$T$60,5,FALSE)</f>
        <v>#N/A</v>
      </c>
    </row>
    <row r="9" spans="1:22" x14ac:dyDescent="0.3">
      <c r="E9" s="3" t="str">
        <f t="shared" si="0"/>
        <v/>
      </c>
      <c r="F9" s="3" t="str">
        <f xml:space="preserve"> IF(E9="","",  IFERROR(VLOOKUP(D9,LookupLists!$N$3:$T$60,6,FALSE)-LEN(E9),0))</f>
        <v/>
      </c>
      <c r="G9" s="3" t="str">
        <f>IF(E9="","",IFERROR(matches(E9,VLOOKUP(D9,LookupLists!$N$3:$T$60,7,FALSE)),FALSE))</f>
        <v/>
      </c>
      <c r="H9" s="3" t="e">
        <f>VLOOKUP(A9,LookupLists!$I$3:$L$60,1,FALSE)</f>
        <v>#N/A</v>
      </c>
      <c r="I9" s="3" t="e">
        <f>VLOOKUP(A9,LookupLists!$I$3:$L$60,2,FALSE)</f>
        <v>#N/A</v>
      </c>
      <c r="J9" s="3" t="e">
        <f>VLOOKUP(A9,LookupLists!$I$3:$L$60,3,FALSE)</f>
        <v>#N/A</v>
      </c>
      <c r="K9" s="3" t="e">
        <f>VLOOKUP(A9,LookupLists!$I$3:$L$60,4,FALSE)</f>
        <v>#N/A</v>
      </c>
      <c r="L9" s="3" t="e">
        <f>VLOOKUP(C9,LookupLists!$A$3:$G$60,1,FALSE)</f>
        <v>#N/A</v>
      </c>
      <c r="M9" s="3" t="e">
        <f>VLOOKUP(C9,LookupLists!$A$3:$G$60,4,FALSE)</f>
        <v>#N/A</v>
      </c>
      <c r="N9" s="3" t="e">
        <f>VLOOKUP(C9,LookupLists!$A$3:$G$60,2,FALSE)</f>
        <v>#N/A</v>
      </c>
      <c r="O9" s="3" t="e">
        <f>VLOOKUP(C9,LookupLists!$A$3:$G$60,3,FALSE)</f>
        <v>#N/A</v>
      </c>
      <c r="P9" s="3" t="e">
        <f>VLOOKUP(C9,LookupLists!$A$3:$G$60,5,FALSE)</f>
        <v>#N/A</v>
      </c>
      <c r="Q9" s="3" t="e">
        <f>VLOOKUP(C9,LookupLists!$A$3:$G$60,6,FALSE)</f>
        <v>#N/A</v>
      </c>
      <c r="R9" s="4" t="e">
        <f>VLOOKUP(C9,LookupLists!$A$3:$G$60,7,FALSE)</f>
        <v>#N/A</v>
      </c>
      <c r="S9" s="3" t="e">
        <f>VLOOKUP(D9,LookupLists!$N$4:$T$60,1,FALSE)</f>
        <v>#N/A</v>
      </c>
      <c r="T9" s="3" t="e">
        <f>VLOOKUP(D9,LookupLists!$N$4:$T$60,2,FALSE)</f>
        <v>#N/A</v>
      </c>
      <c r="U9" s="3" t="e">
        <f>VLOOKUP(D9,LookupLists!$N$4:$T$60,3,FALSE)</f>
        <v>#N/A</v>
      </c>
      <c r="V9" s="3" t="e">
        <f>VLOOKUP(D9,LookupLists!$N$4:$T$60,5,FALSE)</f>
        <v>#N/A</v>
      </c>
    </row>
    <row r="10" spans="1:22" x14ac:dyDescent="0.3">
      <c r="E10" s="3" t="str">
        <f t="shared" si="0"/>
        <v/>
      </c>
      <c r="F10" s="3" t="str">
        <f xml:space="preserve"> IF(E10="","",  IFERROR(VLOOKUP(D10,LookupLists!$N$3:$T$60,6,FALSE)-LEN(E10),0))</f>
        <v/>
      </c>
      <c r="G10" s="3" t="str">
        <f>IF(E10="","",IFERROR(matches(E10,VLOOKUP(D10,LookupLists!$N$3:$T$60,7,FALSE)),FALSE))</f>
        <v/>
      </c>
      <c r="H10" s="3" t="e">
        <f>VLOOKUP(A10,LookupLists!$I$3:$L$60,1,FALSE)</f>
        <v>#N/A</v>
      </c>
      <c r="I10" s="3" t="e">
        <f>VLOOKUP(A10,LookupLists!$I$3:$L$60,2,FALSE)</f>
        <v>#N/A</v>
      </c>
      <c r="J10" s="3" t="e">
        <f>VLOOKUP(A10,LookupLists!$I$3:$L$60,3,FALSE)</f>
        <v>#N/A</v>
      </c>
      <c r="K10" s="3" t="e">
        <f>VLOOKUP(A10,LookupLists!$I$3:$L$60,4,FALSE)</f>
        <v>#N/A</v>
      </c>
      <c r="L10" s="3" t="e">
        <f>VLOOKUP(C10,LookupLists!$A$3:$G$60,1,FALSE)</f>
        <v>#N/A</v>
      </c>
      <c r="M10" s="3" t="e">
        <f>VLOOKUP(C10,LookupLists!$A$3:$G$60,4,FALSE)</f>
        <v>#N/A</v>
      </c>
      <c r="N10" s="3" t="e">
        <f>VLOOKUP(C10,LookupLists!$A$3:$G$60,2,FALSE)</f>
        <v>#N/A</v>
      </c>
      <c r="O10" s="3" t="e">
        <f>VLOOKUP(C10,LookupLists!$A$3:$G$60,3,FALSE)</f>
        <v>#N/A</v>
      </c>
      <c r="P10" s="3" t="e">
        <f>VLOOKUP(C10,LookupLists!$A$3:$G$60,5,FALSE)</f>
        <v>#N/A</v>
      </c>
      <c r="Q10" s="3" t="e">
        <f>VLOOKUP(C10,LookupLists!$A$3:$G$60,6,FALSE)</f>
        <v>#N/A</v>
      </c>
      <c r="R10" s="4" t="e">
        <f>VLOOKUP(C10,LookupLists!$A$3:$G$60,7,FALSE)</f>
        <v>#N/A</v>
      </c>
      <c r="S10" s="3" t="e">
        <f>VLOOKUP(D10,LookupLists!$N$4:$T$60,1,FALSE)</f>
        <v>#N/A</v>
      </c>
      <c r="T10" s="3" t="e">
        <f>VLOOKUP(D10,LookupLists!$N$4:$T$60,2,FALSE)</f>
        <v>#N/A</v>
      </c>
      <c r="U10" s="3" t="e">
        <f>VLOOKUP(D10,LookupLists!$N$4:$T$60,3,FALSE)</f>
        <v>#N/A</v>
      </c>
      <c r="V10" s="3" t="e">
        <f>VLOOKUP(D10,LookupLists!$N$4:$T$60,5,FALSE)</f>
        <v>#N/A</v>
      </c>
    </row>
    <row r="11" spans="1:22" x14ac:dyDescent="0.3">
      <c r="E11" s="3" t="str">
        <f t="shared" si="0"/>
        <v/>
      </c>
      <c r="F11" s="3" t="str">
        <f xml:space="preserve"> IF(E11="","",  IFERROR(VLOOKUP(D11,LookupLists!$N$3:$T$60,6,FALSE)-LEN(E11),0))</f>
        <v/>
      </c>
      <c r="G11" s="3" t="str">
        <f>IF(E11="","",IFERROR(matches(E11,VLOOKUP(D11,LookupLists!$N$3:$T$60,7,FALSE)),FALSE))</f>
        <v/>
      </c>
      <c r="H11" s="3" t="e">
        <f>VLOOKUP(A11,LookupLists!$I$3:$L$60,1,FALSE)</f>
        <v>#N/A</v>
      </c>
      <c r="I11" s="3" t="e">
        <f>VLOOKUP(A11,LookupLists!$I$3:$L$60,2,FALSE)</f>
        <v>#N/A</v>
      </c>
      <c r="J11" s="3" t="e">
        <f>VLOOKUP(A11,LookupLists!$I$3:$L$60,3,FALSE)</f>
        <v>#N/A</v>
      </c>
      <c r="K11" s="3" t="e">
        <f>VLOOKUP(A11,LookupLists!$I$3:$L$60,4,FALSE)</f>
        <v>#N/A</v>
      </c>
      <c r="L11" s="3" t="e">
        <f>VLOOKUP(C11,LookupLists!$A$3:$G$60,1,FALSE)</f>
        <v>#N/A</v>
      </c>
      <c r="M11" s="3" t="e">
        <f>VLOOKUP(C11,LookupLists!$A$3:$G$60,4,FALSE)</f>
        <v>#N/A</v>
      </c>
      <c r="N11" s="3" t="e">
        <f>VLOOKUP(C11,LookupLists!$A$3:$G$60,2,FALSE)</f>
        <v>#N/A</v>
      </c>
      <c r="O11" s="3" t="e">
        <f>VLOOKUP(C11,LookupLists!$A$3:$G$60,3,FALSE)</f>
        <v>#N/A</v>
      </c>
      <c r="P11" s="3" t="e">
        <f>VLOOKUP(C11,LookupLists!$A$3:$G$60,5,FALSE)</f>
        <v>#N/A</v>
      </c>
      <c r="Q11" s="3" t="e">
        <f>VLOOKUP(C11,LookupLists!$A$3:$G$60,6,FALSE)</f>
        <v>#N/A</v>
      </c>
      <c r="R11" s="4" t="e">
        <f>VLOOKUP(C11,LookupLists!$A$3:$G$60,7,FALSE)</f>
        <v>#N/A</v>
      </c>
      <c r="S11" s="3" t="e">
        <f>VLOOKUP(D11,LookupLists!$N$4:$T$60,1,FALSE)</f>
        <v>#N/A</v>
      </c>
      <c r="T11" s="3" t="e">
        <f>VLOOKUP(D11,LookupLists!$N$4:$T$60,2,FALSE)</f>
        <v>#N/A</v>
      </c>
      <c r="U11" s="3" t="e">
        <f>VLOOKUP(D11,LookupLists!$N$4:$T$60,3,FALSE)</f>
        <v>#N/A</v>
      </c>
      <c r="V11" s="3" t="e">
        <f>VLOOKUP(D11,LookupLists!$N$4:$T$60,5,FALSE)</f>
        <v>#N/A</v>
      </c>
    </row>
    <row r="12" spans="1:22" x14ac:dyDescent="0.3">
      <c r="E12" s="3" t="str">
        <f t="shared" si="0"/>
        <v/>
      </c>
      <c r="F12" s="3" t="str">
        <f xml:space="preserve"> IF(E12="","",  IFERROR(VLOOKUP(D12,LookupLists!$N$3:$T$60,6,FALSE)-LEN(E12),0))</f>
        <v/>
      </c>
      <c r="G12" s="3" t="str">
        <f>IF(E12="","",IFERROR(matches(E12,VLOOKUP(D12,LookupLists!$N$3:$T$60,7,FALSE)),FALSE))</f>
        <v/>
      </c>
      <c r="H12" s="3" t="e">
        <f>VLOOKUP(A12,LookupLists!$I$3:$L$60,1,FALSE)</f>
        <v>#N/A</v>
      </c>
      <c r="I12" s="3" t="e">
        <f>VLOOKUP(A12,LookupLists!$I$3:$L$60,2,FALSE)</f>
        <v>#N/A</v>
      </c>
      <c r="J12" s="3" t="e">
        <f>VLOOKUP(A12,LookupLists!$I$3:$L$60,3,FALSE)</f>
        <v>#N/A</v>
      </c>
      <c r="K12" s="3" t="e">
        <f>VLOOKUP(A12,LookupLists!$I$3:$L$60,4,FALSE)</f>
        <v>#N/A</v>
      </c>
      <c r="L12" s="3" t="e">
        <f>VLOOKUP(C12,LookupLists!$A$3:$G$60,1,FALSE)</f>
        <v>#N/A</v>
      </c>
      <c r="M12" s="3" t="e">
        <f>VLOOKUP(C12,LookupLists!$A$3:$G$60,4,FALSE)</f>
        <v>#N/A</v>
      </c>
      <c r="N12" s="3" t="e">
        <f>VLOOKUP(C12,LookupLists!$A$3:$G$60,2,FALSE)</f>
        <v>#N/A</v>
      </c>
      <c r="O12" s="3" t="e">
        <f>VLOOKUP(C12,LookupLists!$A$3:$G$60,3,FALSE)</f>
        <v>#N/A</v>
      </c>
      <c r="P12" s="3" t="e">
        <f>VLOOKUP(C12,LookupLists!$A$3:$G$60,5,FALSE)</f>
        <v>#N/A</v>
      </c>
      <c r="Q12" s="3" t="e">
        <f>VLOOKUP(C12,LookupLists!$A$3:$G$60,6,FALSE)</f>
        <v>#N/A</v>
      </c>
      <c r="R12" s="4" t="e">
        <f>VLOOKUP(C12,LookupLists!$A$3:$G$60,7,FALSE)</f>
        <v>#N/A</v>
      </c>
      <c r="S12" s="3" t="e">
        <f>VLOOKUP(D12,LookupLists!$N$4:$T$60,1,FALSE)</f>
        <v>#N/A</v>
      </c>
      <c r="T12" s="3" t="e">
        <f>VLOOKUP(D12,LookupLists!$N$4:$T$60,2,FALSE)</f>
        <v>#N/A</v>
      </c>
      <c r="U12" s="3" t="e">
        <f>VLOOKUP(D12,LookupLists!$N$4:$T$60,3,FALSE)</f>
        <v>#N/A</v>
      </c>
      <c r="V12" s="3" t="e">
        <f>VLOOKUP(D12,LookupLists!$N$4:$T$60,5,FALSE)</f>
        <v>#N/A</v>
      </c>
    </row>
    <row r="13" spans="1:22" x14ac:dyDescent="0.3">
      <c r="E13" s="3" t="str">
        <f t="shared" si="0"/>
        <v/>
      </c>
      <c r="F13" s="3" t="str">
        <f xml:space="preserve"> IF(E13="","",  IFERROR(VLOOKUP(D13,LookupLists!$N$3:$T$60,6,FALSE)-LEN(E13),0))</f>
        <v/>
      </c>
      <c r="G13" s="3" t="str">
        <f>IF(E13="","",IFERROR(matches(E13,VLOOKUP(D13,LookupLists!$N$3:$T$60,7,FALSE)),FALSE))</f>
        <v/>
      </c>
      <c r="H13" s="3" t="e">
        <f>VLOOKUP(A13,LookupLists!$I$3:$L$60,1,FALSE)</f>
        <v>#N/A</v>
      </c>
      <c r="I13" s="3" t="e">
        <f>VLOOKUP(A13,LookupLists!$I$3:$L$60,2,FALSE)</f>
        <v>#N/A</v>
      </c>
      <c r="J13" s="3" t="e">
        <f>VLOOKUP(A13,LookupLists!$I$3:$L$60,3,FALSE)</f>
        <v>#N/A</v>
      </c>
      <c r="K13" s="3" t="e">
        <f>VLOOKUP(A13,LookupLists!$I$3:$L$60,4,FALSE)</f>
        <v>#N/A</v>
      </c>
      <c r="L13" s="3" t="e">
        <f>VLOOKUP(C13,LookupLists!$A$3:$G$60,1,FALSE)</f>
        <v>#N/A</v>
      </c>
      <c r="M13" s="3" t="e">
        <f>VLOOKUP(C13,LookupLists!$A$3:$G$60,4,FALSE)</f>
        <v>#N/A</v>
      </c>
      <c r="N13" s="3" t="e">
        <f>VLOOKUP(C13,LookupLists!$A$3:$G$60,2,FALSE)</f>
        <v>#N/A</v>
      </c>
      <c r="O13" s="3" t="e">
        <f>VLOOKUP(C13,LookupLists!$A$3:$G$60,3,FALSE)</f>
        <v>#N/A</v>
      </c>
      <c r="P13" s="3" t="e">
        <f>VLOOKUP(C13,LookupLists!$A$3:$G$60,5,FALSE)</f>
        <v>#N/A</v>
      </c>
      <c r="Q13" s="3" t="e">
        <f>VLOOKUP(C13,LookupLists!$A$3:$G$60,6,FALSE)</f>
        <v>#N/A</v>
      </c>
      <c r="R13" s="4" t="e">
        <f>VLOOKUP(C13,LookupLists!$A$3:$G$60,7,FALSE)</f>
        <v>#N/A</v>
      </c>
      <c r="S13" s="3" t="e">
        <f>VLOOKUP(D13,LookupLists!$N$4:$T$60,1,FALSE)</f>
        <v>#N/A</v>
      </c>
      <c r="T13" s="3" t="e">
        <f>VLOOKUP(D13,LookupLists!$N$4:$T$60,2,FALSE)</f>
        <v>#N/A</v>
      </c>
      <c r="U13" s="3" t="e">
        <f>VLOOKUP(D13,LookupLists!$N$4:$T$60,3,FALSE)</f>
        <v>#N/A</v>
      </c>
      <c r="V13" s="3" t="e">
        <f>VLOOKUP(D13,LookupLists!$N$4:$T$60,5,FALSE)</f>
        <v>#N/A</v>
      </c>
    </row>
    <row r="14" spans="1:22" x14ac:dyDescent="0.3">
      <c r="E14" s="3" t="str">
        <f t="shared" si="0"/>
        <v/>
      </c>
      <c r="F14" s="3" t="str">
        <f xml:space="preserve"> IF(E14="","",  IFERROR(VLOOKUP(D14,LookupLists!$N$3:$T$60,6,FALSE)-LEN(E14),0))</f>
        <v/>
      </c>
      <c r="G14" s="3" t="str">
        <f>IF(E14="","",IFERROR(matches(E14,VLOOKUP(D14,LookupLists!$N$3:$T$60,7,FALSE)),FALSE))</f>
        <v/>
      </c>
      <c r="H14" s="3" t="e">
        <f>VLOOKUP(A14,LookupLists!$I$3:$L$60,1,FALSE)</f>
        <v>#N/A</v>
      </c>
      <c r="I14" s="3" t="e">
        <f>VLOOKUP(A14,LookupLists!$I$3:$L$60,2,FALSE)</f>
        <v>#N/A</v>
      </c>
      <c r="J14" s="3" t="e">
        <f>VLOOKUP(A14,LookupLists!$I$3:$L$60,3,FALSE)</f>
        <v>#N/A</v>
      </c>
      <c r="K14" s="3" t="e">
        <f>VLOOKUP(A14,LookupLists!$I$3:$L$60,4,FALSE)</f>
        <v>#N/A</v>
      </c>
      <c r="L14" s="3" t="e">
        <f>VLOOKUP(C14,LookupLists!$A$3:$G$60,1,FALSE)</f>
        <v>#N/A</v>
      </c>
      <c r="M14" s="3" t="e">
        <f>VLOOKUP(C14,LookupLists!$A$3:$G$60,4,FALSE)</f>
        <v>#N/A</v>
      </c>
      <c r="N14" s="3" t="e">
        <f>VLOOKUP(C14,LookupLists!$A$3:$G$60,2,FALSE)</f>
        <v>#N/A</v>
      </c>
      <c r="O14" s="3" t="e">
        <f>VLOOKUP(C14,LookupLists!$A$3:$G$60,3,FALSE)</f>
        <v>#N/A</v>
      </c>
      <c r="P14" s="3" t="e">
        <f>VLOOKUP(C14,LookupLists!$A$3:$G$60,5,FALSE)</f>
        <v>#N/A</v>
      </c>
      <c r="Q14" s="3" t="e">
        <f>VLOOKUP(C14,LookupLists!$A$3:$G$60,6,FALSE)</f>
        <v>#N/A</v>
      </c>
      <c r="R14" s="4" t="e">
        <f>VLOOKUP(C14,LookupLists!$A$3:$G$60,7,FALSE)</f>
        <v>#N/A</v>
      </c>
      <c r="S14" s="3" t="e">
        <f>VLOOKUP(D14,LookupLists!$N$4:$T$60,1,FALSE)</f>
        <v>#N/A</v>
      </c>
      <c r="T14" s="3" t="e">
        <f>VLOOKUP(D14,LookupLists!$N$4:$T$60,2,FALSE)</f>
        <v>#N/A</v>
      </c>
      <c r="U14" s="3" t="e">
        <f>VLOOKUP(D14,LookupLists!$N$4:$T$60,3,FALSE)</f>
        <v>#N/A</v>
      </c>
      <c r="V14" s="3" t="e">
        <f>VLOOKUP(D14,LookupLists!$N$4:$T$60,5,FALSE)</f>
        <v>#N/A</v>
      </c>
    </row>
    <row r="15" spans="1:22" x14ac:dyDescent="0.3">
      <c r="E15" s="3" t="str">
        <f t="shared" si="0"/>
        <v/>
      </c>
      <c r="F15" s="3" t="str">
        <f xml:space="preserve"> IF(E15="","",  IFERROR(VLOOKUP(D15,LookupLists!$N$3:$T$60,6,FALSE)-LEN(E15),0))</f>
        <v/>
      </c>
      <c r="G15" s="3" t="str">
        <f>IF(E15="","",IFERROR(matches(E15,VLOOKUP(D15,LookupLists!$N$3:$T$60,7,FALSE)),FALSE))</f>
        <v/>
      </c>
      <c r="H15" s="3" t="e">
        <f>VLOOKUP(A15,LookupLists!$I$3:$L$60,1,FALSE)</f>
        <v>#N/A</v>
      </c>
      <c r="I15" s="3" t="e">
        <f>VLOOKUP(A15,LookupLists!$I$3:$L$60,2,FALSE)</f>
        <v>#N/A</v>
      </c>
      <c r="J15" s="3" t="e">
        <f>VLOOKUP(A15,LookupLists!$I$3:$L$60,3,FALSE)</f>
        <v>#N/A</v>
      </c>
      <c r="K15" s="3" t="e">
        <f>VLOOKUP(A15,LookupLists!$I$3:$L$60,4,FALSE)</f>
        <v>#N/A</v>
      </c>
      <c r="L15" s="3" t="e">
        <f>VLOOKUP(C15,LookupLists!$A$3:$G$60,1,FALSE)</f>
        <v>#N/A</v>
      </c>
      <c r="M15" s="3" t="e">
        <f>VLOOKUP(C15,LookupLists!$A$3:$G$60,4,FALSE)</f>
        <v>#N/A</v>
      </c>
      <c r="N15" s="3" t="e">
        <f>VLOOKUP(C15,LookupLists!$A$3:$G$60,2,FALSE)</f>
        <v>#N/A</v>
      </c>
      <c r="O15" s="3" t="e">
        <f>VLOOKUP(C15,LookupLists!$A$3:$G$60,3,FALSE)</f>
        <v>#N/A</v>
      </c>
      <c r="P15" s="3" t="e">
        <f>VLOOKUP(C15,LookupLists!$A$3:$G$60,5,FALSE)</f>
        <v>#N/A</v>
      </c>
      <c r="Q15" s="3" t="e">
        <f>VLOOKUP(C15,LookupLists!$A$3:$G$60,6,FALSE)</f>
        <v>#N/A</v>
      </c>
      <c r="R15" s="4" t="e">
        <f>VLOOKUP(C15,LookupLists!$A$3:$G$60,7,FALSE)</f>
        <v>#N/A</v>
      </c>
      <c r="S15" s="3" t="e">
        <f>VLOOKUP(D15,LookupLists!$N$4:$T$60,1,FALSE)</f>
        <v>#N/A</v>
      </c>
      <c r="T15" s="3" t="e">
        <f>VLOOKUP(D15,LookupLists!$N$4:$T$60,2,FALSE)</f>
        <v>#N/A</v>
      </c>
      <c r="U15" s="3" t="e">
        <f>VLOOKUP(D15,LookupLists!$N$4:$T$60,3,FALSE)</f>
        <v>#N/A</v>
      </c>
      <c r="V15" s="3" t="e">
        <f>VLOOKUP(D15,LookupLists!$N$4:$T$60,5,FALSE)</f>
        <v>#N/A</v>
      </c>
    </row>
    <row r="16" spans="1:22" x14ac:dyDescent="0.3">
      <c r="E16" s="3" t="str">
        <f t="shared" si="0"/>
        <v/>
      </c>
      <c r="F16" s="3" t="str">
        <f xml:space="preserve"> IF(E16="","",  IFERROR(VLOOKUP(D16,LookupLists!$N$3:$T$60,6,FALSE)-LEN(E16),0))</f>
        <v/>
      </c>
      <c r="G16" s="3" t="str">
        <f>IF(E16="","",IFERROR(matches(E16,VLOOKUP(D16,LookupLists!$N$3:$T$60,7,FALSE)),FALSE))</f>
        <v/>
      </c>
      <c r="H16" s="3" t="e">
        <f>VLOOKUP(A16,LookupLists!$I$3:$L$60,1,FALSE)</f>
        <v>#N/A</v>
      </c>
      <c r="I16" s="3" t="e">
        <f>VLOOKUP(A16,LookupLists!$I$3:$L$60,2,FALSE)</f>
        <v>#N/A</v>
      </c>
      <c r="J16" s="3" t="e">
        <f>VLOOKUP(A16,LookupLists!$I$3:$L$60,3,FALSE)</f>
        <v>#N/A</v>
      </c>
      <c r="K16" s="3" t="e">
        <f>VLOOKUP(A16,LookupLists!$I$3:$L$60,4,FALSE)</f>
        <v>#N/A</v>
      </c>
      <c r="L16" s="3" t="e">
        <f>VLOOKUP(C16,LookupLists!$A$3:$G$60,1,FALSE)</f>
        <v>#N/A</v>
      </c>
      <c r="M16" s="3" t="e">
        <f>VLOOKUP(C16,LookupLists!$A$3:$G$60,4,FALSE)</f>
        <v>#N/A</v>
      </c>
      <c r="N16" s="3" t="e">
        <f>VLOOKUP(C16,LookupLists!$A$3:$G$60,2,FALSE)</f>
        <v>#N/A</v>
      </c>
      <c r="O16" s="3" t="e">
        <f>VLOOKUP(C16,LookupLists!$A$3:$G$60,3,FALSE)</f>
        <v>#N/A</v>
      </c>
      <c r="P16" s="3" t="e">
        <f>VLOOKUP(C16,LookupLists!$A$3:$G$60,5,FALSE)</f>
        <v>#N/A</v>
      </c>
      <c r="Q16" s="3" t="e">
        <f>VLOOKUP(C16,LookupLists!$A$3:$G$60,6,FALSE)</f>
        <v>#N/A</v>
      </c>
      <c r="R16" s="4" t="e">
        <f>VLOOKUP(C16,LookupLists!$A$3:$G$60,7,FALSE)</f>
        <v>#N/A</v>
      </c>
      <c r="S16" s="3" t="e">
        <f>VLOOKUP(D16,LookupLists!$N$4:$T$60,1,FALSE)</f>
        <v>#N/A</v>
      </c>
      <c r="T16" s="3" t="e">
        <f>VLOOKUP(D16,LookupLists!$N$4:$T$60,2,FALSE)</f>
        <v>#N/A</v>
      </c>
      <c r="U16" s="3" t="e">
        <f>VLOOKUP(D16,LookupLists!$N$4:$T$60,3,FALSE)</f>
        <v>#N/A</v>
      </c>
      <c r="V16" s="3" t="e">
        <f>VLOOKUP(D16,LookupLists!$N$4:$T$60,5,FALSE)</f>
        <v>#N/A</v>
      </c>
    </row>
    <row r="17" spans="5:22" x14ac:dyDescent="0.3">
      <c r="E17" s="3" t="str">
        <f t="shared" si="0"/>
        <v/>
      </c>
      <c r="F17" s="3" t="str">
        <f xml:space="preserve"> IF(E17="","",  IFERROR(VLOOKUP(D17,LookupLists!$N$3:$T$60,6,FALSE)-LEN(E17),0))</f>
        <v/>
      </c>
      <c r="G17" s="3" t="str">
        <f>IF(E17="","",IFERROR(matches(E17,VLOOKUP(D17,LookupLists!$N$3:$T$60,7,FALSE)),FALSE))</f>
        <v/>
      </c>
      <c r="H17" s="3" t="e">
        <f>VLOOKUP(A17,LookupLists!$I$3:$L$60,1,FALSE)</f>
        <v>#N/A</v>
      </c>
      <c r="I17" s="3" t="e">
        <f>VLOOKUP(A17,LookupLists!$I$3:$L$60,2,FALSE)</f>
        <v>#N/A</v>
      </c>
      <c r="J17" s="3" t="e">
        <f>VLOOKUP(A17,LookupLists!$I$3:$L$60,3,FALSE)</f>
        <v>#N/A</v>
      </c>
      <c r="K17" s="3" t="e">
        <f>VLOOKUP(A17,LookupLists!$I$3:$L$60,4,FALSE)</f>
        <v>#N/A</v>
      </c>
      <c r="L17" s="3" t="e">
        <f>VLOOKUP(C17,LookupLists!$A$3:$G$60,1,FALSE)</f>
        <v>#N/A</v>
      </c>
      <c r="M17" s="3" t="e">
        <f>VLOOKUP(C17,LookupLists!$A$3:$G$60,4,FALSE)</f>
        <v>#N/A</v>
      </c>
      <c r="N17" s="3" t="e">
        <f>VLOOKUP(C17,LookupLists!$A$3:$G$60,2,FALSE)</f>
        <v>#N/A</v>
      </c>
      <c r="O17" s="3" t="e">
        <f>VLOOKUP(C17,LookupLists!$A$3:$G$60,3,FALSE)</f>
        <v>#N/A</v>
      </c>
      <c r="P17" s="3" t="e">
        <f>VLOOKUP(C17,LookupLists!$A$3:$G$60,5,FALSE)</f>
        <v>#N/A</v>
      </c>
      <c r="Q17" s="3" t="e">
        <f>VLOOKUP(C17,LookupLists!$A$3:$G$60,6,FALSE)</f>
        <v>#N/A</v>
      </c>
      <c r="R17" s="4" t="e">
        <f>VLOOKUP(C17,LookupLists!$A$3:$G$60,7,FALSE)</f>
        <v>#N/A</v>
      </c>
      <c r="S17" s="3" t="e">
        <f>VLOOKUP(D17,LookupLists!$N$4:$T$60,1,FALSE)</f>
        <v>#N/A</v>
      </c>
      <c r="T17" s="3" t="e">
        <f>VLOOKUP(D17,LookupLists!$N$4:$T$60,2,FALSE)</f>
        <v>#N/A</v>
      </c>
      <c r="U17" s="3" t="e">
        <f>VLOOKUP(D17,LookupLists!$N$4:$T$60,3,FALSE)</f>
        <v>#N/A</v>
      </c>
      <c r="V17" s="3" t="e">
        <f>VLOOKUP(D17,LookupLists!$N$4:$T$60,5,FALSE)</f>
        <v>#N/A</v>
      </c>
    </row>
    <row r="18" spans="5:22" x14ac:dyDescent="0.3">
      <c r="E18" s="3" t="str">
        <f t="shared" si="0"/>
        <v/>
      </c>
      <c r="F18" s="3" t="str">
        <f xml:space="preserve"> IF(E18="","",  IFERROR(VLOOKUP(D18,LookupLists!$N$3:$T$60,6,FALSE)-LEN(E18),0))</f>
        <v/>
      </c>
      <c r="G18" s="3" t="str">
        <f>IF(E18="","",IFERROR(matches(E18,VLOOKUP(D18,LookupLists!$N$3:$T$60,7,FALSE)),FALSE))</f>
        <v/>
      </c>
      <c r="H18" s="3" t="e">
        <f>VLOOKUP(A18,LookupLists!$I$3:$L$60,1,FALSE)</f>
        <v>#N/A</v>
      </c>
      <c r="I18" s="3" t="e">
        <f>VLOOKUP(A18,LookupLists!$I$3:$L$60,2,FALSE)</f>
        <v>#N/A</v>
      </c>
      <c r="J18" s="3" t="e">
        <f>VLOOKUP(A18,LookupLists!$I$3:$L$60,3,FALSE)</f>
        <v>#N/A</v>
      </c>
      <c r="K18" s="3" t="e">
        <f>VLOOKUP(A18,LookupLists!$I$3:$L$60,4,FALSE)</f>
        <v>#N/A</v>
      </c>
      <c r="L18" s="3" t="e">
        <f>VLOOKUP(C18,LookupLists!$A$3:$G$60,1,FALSE)</f>
        <v>#N/A</v>
      </c>
      <c r="M18" s="3" t="e">
        <f>VLOOKUP(C18,LookupLists!$A$3:$G$60,4,FALSE)</f>
        <v>#N/A</v>
      </c>
      <c r="N18" s="3" t="e">
        <f>VLOOKUP(C18,LookupLists!$A$3:$G$60,2,FALSE)</f>
        <v>#N/A</v>
      </c>
      <c r="O18" s="3" t="e">
        <f>VLOOKUP(C18,LookupLists!$A$3:$G$60,3,FALSE)</f>
        <v>#N/A</v>
      </c>
      <c r="P18" s="3" t="e">
        <f>VLOOKUP(C18,LookupLists!$A$3:$G$60,5,FALSE)</f>
        <v>#N/A</v>
      </c>
      <c r="Q18" s="3" t="e">
        <f>VLOOKUP(C18,LookupLists!$A$3:$G$60,6,FALSE)</f>
        <v>#N/A</v>
      </c>
      <c r="R18" s="4" t="e">
        <f>VLOOKUP(C18,LookupLists!$A$3:$G$60,7,FALSE)</f>
        <v>#N/A</v>
      </c>
      <c r="S18" s="3" t="e">
        <f>VLOOKUP(D18,LookupLists!$N$4:$T$60,1,FALSE)</f>
        <v>#N/A</v>
      </c>
      <c r="T18" s="3" t="e">
        <f>VLOOKUP(D18,LookupLists!$N$4:$T$60,2,FALSE)</f>
        <v>#N/A</v>
      </c>
      <c r="U18" s="3" t="e">
        <f>VLOOKUP(D18,LookupLists!$N$4:$T$60,3,FALSE)</f>
        <v>#N/A</v>
      </c>
      <c r="V18" s="3" t="e">
        <f>VLOOKUP(D18,LookupLists!$N$4:$T$60,5,FALSE)</f>
        <v>#N/A</v>
      </c>
    </row>
    <row r="19" spans="5:22" x14ac:dyDescent="0.3">
      <c r="E19" s="3" t="str">
        <f t="shared" si="0"/>
        <v/>
      </c>
      <c r="F19" s="3" t="str">
        <f xml:space="preserve"> IF(E19="","",  IFERROR(VLOOKUP(D19,LookupLists!$N$3:$T$60,6,FALSE)-LEN(E19),0))</f>
        <v/>
      </c>
      <c r="G19" s="3" t="str">
        <f>IF(E19="","",IFERROR(matches(E19,VLOOKUP(D19,LookupLists!$N$3:$T$60,7,FALSE)),FALSE))</f>
        <v/>
      </c>
      <c r="H19" s="3" t="e">
        <f>VLOOKUP(A19,LookupLists!$I$3:$L$60,1,FALSE)</f>
        <v>#N/A</v>
      </c>
      <c r="I19" s="3" t="e">
        <f>VLOOKUP(A19,LookupLists!$I$3:$L$60,2,FALSE)</f>
        <v>#N/A</v>
      </c>
      <c r="J19" s="3" t="e">
        <f>VLOOKUP(A19,LookupLists!$I$3:$L$60,3,FALSE)</f>
        <v>#N/A</v>
      </c>
      <c r="K19" s="3" t="e">
        <f>VLOOKUP(A19,LookupLists!$I$3:$L$60,4,FALSE)</f>
        <v>#N/A</v>
      </c>
      <c r="L19" s="3" t="e">
        <f>VLOOKUP(C19,LookupLists!$A$3:$G$60,1,FALSE)</f>
        <v>#N/A</v>
      </c>
      <c r="M19" s="3" t="e">
        <f>VLOOKUP(C19,LookupLists!$A$3:$G$60,4,FALSE)</f>
        <v>#N/A</v>
      </c>
      <c r="N19" s="3" t="e">
        <f>VLOOKUP(C19,LookupLists!$A$3:$G$60,2,FALSE)</f>
        <v>#N/A</v>
      </c>
      <c r="O19" s="3" t="e">
        <f>VLOOKUP(C19,LookupLists!$A$3:$G$60,3,FALSE)</f>
        <v>#N/A</v>
      </c>
      <c r="P19" s="3" t="e">
        <f>VLOOKUP(C19,LookupLists!$A$3:$G$60,5,FALSE)</f>
        <v>#N/A</v>
      </c>
      <c r="Q19" s="3" t="e">
        <f>VLOOKUP(C19,LookupLists!$A$3:$G$60,6,FALSE)</f>
        <v>#N/A</v>
      </c>
      <c r="R19" s="4" t="e">
        <f>VLOOKUP(C19,LookupLists!$A$3:$G$60,7,FALSE)</f>
        <v>#N/A</v>
      </c>
      <c r="S19" s="3" t="e">
        <f>VLOOKUP(D19,LookupLists!$N$4:$T$60,1,FALSE)</f>
        <v>#N/A</v>
      </c>
      <c r="T19" s="3" t="e">
        <f>VLOOKUP(D19,LookupLists!$N$4:$T$60,2,FALSE)</f>
        <v>#N/A</v>
      </c>
      <c r="U19" s="3" t="e">
        <f>VLOOKUP(D19,LookupLists!$N$4:$T$60,3,FALSE)</f>
        <v>#N/A</v>
      </c>
      <c r="V19" s="3" t="e">
        <f>VLOOKUP(D19,LookupLists!$N$4:$T$60,5,FALSE)</f>
        <v>#N/A</v>
      </c>
    </row>
    <row r="20" spans="5:22" x14ac:dyDescent="0.3">
      <c r="E20" s="3" t="str">
        <f t="shared" si="0"/>
        <v/>
      </c>
      <c r="F20" s="3" t="str">
        <f xml:space="preserve"> IF(E20="","",  IFERROR(VLOOKUP(D20,LookupLists!$N$3:$T$60,6,FALSE)-LEN(E20),0))</f>
        <v/>
      </c>
      <c r="G20" s="3" t="str">
        <f>IF(E20="","",IFERROR(matches(E20,VLOOKUP(D20,LookupLists!$N$3:$T$60,7,FALSE)),FALSE))</f>
        <v/>
      </c>
      <c r="H20" s="3" t="e">
        <f>VLOOKUP(A20,LookupLists!$I$3:$L$60,1,FALSE)</f>
        <v>#N/A</v>
      </c>
      <c r="I20" s="3" t="e">
        <f>VLOOKUP(A20,LookupLists!$I$3:$L$60,2,FALSE)</f>
        <v>#N/A</v>
      </c>
      <c r="J20" s="3" t="e">
        <f>VLOOKUP(A20,LookupLists!$I$3:$L$60,3,FALSE)</f>
        <v>#N/A</v>
      </c>
      <c r="K20" s="3" t="e">
        <f>VLOOKUP(A20,LookupLists!$I$3:$L$60,4,FALSE)</f>
        <v>#N/A</v>
      </c>
      <c r="L20" s="3" t="e">
        <f>VLOOKUP(C20,LookupLists!$A$3:$G$60,1,FALSE)</f>
        <v>#N/A</v>
      </c>
      <c r="M20" s="3" t="e">
        <f>VLOOKUP(C20,LookupLists!$A$3:$G$60,4,FALSE)</f>
        <v>#N/A</v>
      </c>
      <c r="N20" s="3" t="e">
        <f>VLOOKUP(C20,LookupLists!$A$3:$G$60,2,FALSE)</f>
        <v>#N/A</v>
      </c>
      <c r="O20" s="3" t="e">
        <f>VLOOKUP(C20,LookupLists!$A$3:$G$60,3,FALSE)</f>
        <v>#N/A</v>
      </c>
      <c r="P20" s="3" t="e">
        <f>VLOOKUP(C20,LookupLists!$A$3:$G$60,5,FALSE)</f>
        <v>#N/A</v>
      </c>
      <c r="Q20" s="3" t="e">
        <f>VLOOKUP(C20,LookupLists!$A$3:$G$60,6,FALSE)</f>
        <v>#N/A</v>
      </c>
      <c r="R20" s="4" t="e">
        <f>VLOOKUP(C20,LookupLists!$A$3:$G$60,7,FALSE)</f>
        <v>#N/A</v>
      </c>
      <c r="S20" s="3" t="e">
        <f>VLOOKUP(D20,LookupLists!$N$4:$T$60,1,FALSE)</f>
        <v>#N/A</v>
      </c>
      <c r="T20" s="3" t="e">
        <f>VLOOKUP(D20,LookupLists!$N$4:$T$60,2,FALSE)</f>
        <v>#N/A</v>
      </c>
      <c r="U20" s="3" t="e">
        <f>VLOOKUP(D20,LookupLists!$N$4:$T$60,3,FALSE)</f>
        <v>#N/A</v>
      </c>
      <c r="V20" s="3" t="e">
        <f>VLOOKUP(D20,LookupLists!$N$4:$T$60,5,FALSE)</f>
        <v>#N/A</v>
      </c>
    </row>
    <row r="21" spans="5:22" x14ac:dyDescent="0.3">
      <c r="E21" s="3" t="str">
        <f t="shared" si="0"/>
        <v/>
      </c>
      <c r="F21" s="3" t="str">
        <f xml:space="preserve"> IF(E21="","",  IFERROR(VLOOKUP(D21,LookupLists!$N$3:$T$60,6,FALSE)-LEN(E21),0))</f>
        <v/>
      </c>
      <c r="G21" s="3" t="str">
        <f>IF(E21="","",IFERROR(matches(E21,VLOOKUP(D21,LookupLists!$N$3:$T$60,7,FALSE)),FALSE))</f>
        <v/>
      </c>
      <c r="H21" s="3" t="e">
        <f>VLOOKUP(A21,LookupLists!$I$3:$L$60,1,FALSE)</f>
        <v>#N/A</v>
      </c>
      <c r="I21" s="3" t="e">
        <f>VLOOKUP(A21,LookupLists!$I$3:$L$60,2,FALSE)</f>
        <v>#N/A</v>
      </c>
      <c r="J21" s="3" t="e">
        <f>VLOOKUP(A21,LookupLists!$I$3:$L$60,3,FALSE)</f>
        <v>#N/A</v>
      </c>
      <c r="K21" s="3" t="e">
        <f>VLOOKUP(A21,LookupLists!$I$3:$L$60,4,FALSE)</f>
        <v>#N/A</v>
      </c>
      <c r="L21" s="3" t="e">
        <f>VLOOKUP(C21,LookupLists!$A$3:$G$60,1,FALSE)</f>
        <v>#N/A</v>
      </c>
      <c r="M21" s="3" t="e">
        <f>VLOOKUP(C21,LookupLists!$A$3:$G$60,4,FALSE)</f>
        <v>#N/A</v>
      </c>
      <c r="N21" s="3" t="e">
        <f>VLOOKUP(C21,LookupLists!$A$3:$G$60,2,FALSE)</f>
        <v>#N/A</v>
      </c>
      <c r="O21" s="3" t="e">
        <f>VLOOKUP(C21,LookupLists!$A$3:$G$60,3,FALSE)</f>
        <v>#N/A</v>
      </c>
      <c r="P21" s="3" t="e">
        <f>VLOOKUP(C21,LookupLists!$A$3:$G$60,5,FALSE)</f>
        <v>#N/A</v>
      </c>
      <c r="Q21" s="3" t="e">
        <f>VLOOKUP(C21,LookupLists!$A$3:$G$60,6,FALSE)</f>
        <v>#N/A</v>
      </c>
      <c r="R21" s="4" t="e">
        <f>VLOOKUP(C21,LookupLists!$A$3:$G$60,7,FALSE)</f>
        <v>#N/A</v>
      </c>
      <c r="S21" s="3" t="e">
        <f>VLOOKUP(D21,LookupLists!$N$4:$T$60,1,FALSE)</f>
        <v>#N/A</v>
      </c>
      <c r="T21" s="3" t="e">
        <f>VLOOKUP(D21,LookupLists!$N$4:$T$60,2,FALSE)</f>
        <v>#N/A</v>
      </c>
      <c r="U21" s="3" t="e">
        <f>VLOOKUP(D21,LookupLists!$N$4:$T$60,3,FALSE)</f>
        <v>#N/A</v>
      </c>
      <c r="V21" s="3" t="e">
        <f>VLOOKUP(D21,LookupLists!$N$4:$T$60,5,FALSE)</f>
        <v>#N/A</v>
      </c>
    </row>
    <row r="22" spans="5:22" x14ac:dyDescent="0.3">
      <c r="E22" s="3" t="str">
        <f t="shared" si="0"/>
        <v/>
      </c>
      <c r="F22" s="3" t="str">
        <f xml:space="preserve"> IF(E22="","",  IFERROR(VLOOKUP(D22,LookupLists!$N$3:$T$60,6,FALSE)-LEN(E22),0))</f>
        <v/>
      </c>
      <c r="G22" s="3" t="str">
        <f>IF(E22="","",IFERROR(matches(E22,VLOOKUP(D22,LookupLists!$N$3:$T$60,7,FALSE)),FALSE))</f>
        <v/>
      </c>
      <c r="H22" s="3" t="e">
        <f>VLOOKUP(A22,LookupLists!$I$3:$L$60,1,FALSE)</f>
        <v>#N/A</v>
      </c>
      <c r="I22" s="3" t="e">
        <f>VLOOKUP(A22,LookupLists!$I$3:$L$60,2,FALSE)</f>
        <v>#N/A</v>
      </c>
      <c r="J22" s="3" t="e">
        <f>VLOOKUP(A22,LookupLists!$I$3:$L$60,3,FALSE)</f>
        <v>#N/A</v>
      </c>
      <c r="K22" s="3" t="e">
        <f>VLOOKUP(A22,LookupLists!$I$3:$L$60,4,FALSE)</f>
        <v>#N/A</v>
      </c>
      <c r="L22" s="3" t="e">
        <f>VLOOKUP(C22,LookupLists!$A$3:$G$60,1,FALSE)</f>
        <v>#N/A</v>
      </c>
      <c r="M22" s="3" t="e">
        <f>VLOOKUP(C22,LookupLists!$A$3:$G$60,4,FALSE)</f>
        <v>#N/A</v>
      </c>
      <c r="N22" s="3" t="e">
        <f>VLOOKUP(C22,LookupLists!$A$3:$G$60,2,FALSE)</f>
        <v>#N/A</v>
      </c>
      <c r="O22" s="3" t="e">
        <f>VLOOKUP(C22,LookupLists!$A$3:$G$60,3,FALSE)</f>
        <v>#N/A</v>
      </c>
      <c r="P22" s="3" t="e">
        <f>VLOOKUP(C22,LookupLists!$A$3:$G$60,5,FALSE)</f>
        <v>#N/A</v>
      </c>
      <c r="Q22" s="3" t="e">
        <f>VLOOKUP(C22,LookupLists!$A$3:$G$60,6,FALSE)</f>
        <v>#N/A</v>
      </c>
      <c r="R22" s="4" t="e">
        <f>VLOOKUP(C22,LookupLists!$A$3:$G$60,7,FALSE)</f>
        <v>#N/A</v>
      </c>
      <c r="S22" s="3" t="e">
        <f>VLOOKUP(D22,LookupLists!$N$4:$T$60,1,FALSE)</f>
        <v>#N/A</v>
      </c>
      <c r="T22" s="3" t="e">
        <f>VLOOKUP(D22,LookupLists!$N$4:$T$60,2,FALSE)</f>
        <v>#N/A</v>
      </c>
      <c r="U22" s="3" t="e">
        <f>VLOOKUP(D22,LookupLists!$N$4:$T$60,3,FALSE)</f>
        <v>#N/A</v>
      </c>
      <c r="V22" s="3" t="e">
        <f>VLOOKUP(D22,LookupLists!$N$4:$T$60,5,FALSE)</f>
        <v>#N/A</v>
      </c>
    </row>
    <row r="23" spans="5:22" x14ac:dyDescent="0.3">
      <c r="E23" s="3" t="str">
        <f t="shared" si="0"/>
        <v/>
      </c>
      <c r="F23" s="3" t="str">
        <f xml:space="preserve"> IF(E23="","",  IFERROR(VLOOKUP(D23,LookupLists!$N$3:$T$60,6,FALSE)-LEN(E23),0))</f>
        <v/>
      </c>
      <c r="G23" s="3" t="str">
        <f>IF(E23="","",IFERROR(matches(E23,VLOOKUP(D23,LookupLists!$N$3:$T$60,7,FALSE)),FALSE))</f>
        <v/>
      </c>
      <c r="H23" s="3" t="e">
        <f>VLOOKUP(A23,LookupLists!$I$3:$L$60,1,FALSE)</f>
        <v>#N/A</v>
      </c>
      <c r="I23" s="3" t="e">
        <f>VLOOKUP(A23,LookupLists!$I$3:$L$60,2,FALSE)</f>
        <v>#N/A</v>
      </c>
      <c r="J23" s="3" t="e">
        <f>VLOOKUP(A23,LookupLists!$I$3:$L$60,3,FALSE)</f>
        <v>#N/A</v>
      </c>
      <c r="K23" s="3" t="e">
        <f>VLOOKUP(A23,LookupLists!$I$3:$L$60,4,FALSE)</f>
        <v>#N/A</v>
      </c>
      <c r="L23" s="3" t="e">
        <f>VLOOKUP(C23,LookupLists!$A$3:$G$60,1,FALSE)</f>
        <v>#N/A</v>
      </c>
      <c r="M23" s="3" t="e">
        <f>VLOOKUP(C23,LookupLists!$A$3:$G$60,4,FALSE)</f>
        <v>#N/A</v>
      </c>
      <c r="N23" s="3" t="e">
        <f>VLOOKUP(C23,LookupLists!$A$3:$G$60,2,FALSE)</f>
        <v>#N/A</v>
      </c>
      <c r="O23" s="3" t="e">
        <f>VLOOKUP(C23,LookupLists!$A$3:$G$60,3,FALSE)</f>
        <v>#N/A</v>
      </c>
      <c r="P23" s="3" t="e">
        <f>VLOOKUP(C23,LookupLists!$A$3:$G$60,5,FALSE)</f>
        <v>#N/A</v>
      </c>
      <c r="Q23" s="3" t="e">
        <f>VLOOKUP(C23,LookupLists!$A$3:$G$60,6,FALSE)</f>
        <v>#N/A</v>
      </c>
      <c r="R23" s="4" t="e">
        <f>VLOOKUP(C23,LookupLists!$A$3:$G$60,7,FALSE)</f>
        <v>#N/A</v>
      </c>
      <c r="S23" s="3" t="e">
        <f>VLOOKUP(D23,LookupLists!$N$4:$T$60,1,FALSE)</f>
        <v>#N/A</v>
      </c>
      <c r="T23" s="3" t="e">
        <f>VLOOKUP(D23,LookupLists!$N$4:$T$60,2,FALSE)</f>
        <v>#N/A</v>
      </c>
      <c r="U23" s="3" t="e">
        <f>VLOOKUP(D23,LookupLists!$N$4:$T$60,3,FALSE)</f>
        <v>#N/A</v>
      </c>
      <c r="V23" s="3" t="e">
        <f>VLOOKUP(D23,LookupLists!$N$4:$T$60,5,FALSE)</f>
        <v>#N/A</v>
      </c>
    </row>
    <row r="24" spans="5:22" x14ac:dyDescent="0.3">
      <c r="E24" s="3" t="str">
        <f t="shared" si="0"/>
        <v/>
      </c>
      <c r="F24" s="3" t="str">
        <f xml:space="preserve"> IF(E24="","",  IFERROR(VLOOKUP(D24,LookupLists!$N$3:$T$60,6,FALSE)-LEN(E24),0))</f>
        <v/>
      </c>
      <c r="G24" s="3" t="str">
        <f>IF(E24="","",IFERROR(matches(E24,VLOOKUP(D24,LookupLists!$N$3:$T$60,7,FALSE)),FALSE))</f>
        <v/>
      </c>
      <c r="H24" s="3" t="e">
        <f>VLOOKUP(A24,LookupLists!$I$3:$L$60,1,FALSE)</f>
        <v>#N/A</v>
      </c>
      <c r="I24" s="3" t="e">
        <f>VLOOKUP(A24,LookupLists!$I$3:$L$60,2,FALSE)</f>
        <v>#N/A</v>
      </c>
      <c r="J24" s="3" t="e">
        <f>VLOOKUP(A24,LookupLists!$I$3:$L$60,3,FALSE)</f>
        <v>#N/A</v>
      </c>
      <c r="K24" s="3" t="e">
        <f>VLOOKUP(A24,LookupLists!$I$3:$L$60,4,FALSE)</f>
        <v>#N/A</v>
      </c>
      <c r="L24" s="3" t="e">
        <f>VLOOKUP(C24,LookupLists!$A$3:$G$60,1,FALSE)</f>
        <v>#N/A</v>
      </c>
      <c r="M24" s="3" t="e">
        <f>VLOOKUP(C24,LookupLists!$A$3:$G$60,4,FALSE)</f>
        <v>#N/A</v>
      </c>
      <c r="N24" s="3" t="e">
        <f>VLOOKUP(C24,LookupLists!$A$3:$G$60,2,FALSE)</f>
        <v>#N/A</v>
      </c>
      <c r="O24" s="3" t="e">
        <f>VLOOKUP(C24,LookupLists!$A$3:$G$60,3,FALSE)</f>
        <v>#N/A</v>
      </c>
      <c r="P24" s="3" t="e">
        <f>VLOOKUP(C24,LookupLists!$A$3:$G$60,5,FALSE)</f>
        <v>#N/A</v>
      </c>
      <c r="Q24" s="3" t="e">
        <f>VLOOKUP(C24,LookupLists!$A$3:$G$60,6,FALSE)</f>
        <v>#N/A</v>
      </c>
      <c r="R24" s="4" t="e">
        <f>VLOOKUP(C24,LookupLists!$A$3:$G$60,7,FALSE)</f>
        <v>#N/A</v>
      </c>
      <c r="S24" s="3" t="e">
        <f>VLOOKUP(D24,LookupLists!$N$4:$T$60,1,FALSE)</f>
        <v>#N/A</v>
      </c>
      <c r="T24" s="3" t="e">
        <f>VLOOKUP(D24,LookupLists!$N$4:$T$60,2,FALSE)</f>
        <v>#N/A</v>
      </c>
      <c r="U24" s="3" t="e">
        <f>VLOOKUP(D24,LookupLists!$N$4:$T$60,3,FALSE)</f>
        <v>#N/A</v>
      </c>
      <c r="V24" s="3" t="e">
        <f>VLOOKUP(D24,LookupLists!$N$4:$T$60,5,FALSE)</f>
        <v>#N/A</v>
      </c>
    </row>
    <row r="25" spans="5:22" x14ac:dyDescent="0.3">
      <c r="E25" s="3" t="str">
        <f t="shared" si="0"/>
        <v/>
      </c>
      <c r="F25" s="3" t="str">
        <f xml:space="preserve"> IF(E25="","",  IFERROR(VLOOKUP(D25,LookupLists!$N$3:$T$60,6,FALSE)-LEN(E25),0))</f>
        <v/>
      </c>
      <c r="G25" s="3" t="str">
        <f>IF(E25="","",IFERROR(matches(E25,VLOOKUP(D25,LookupLists!$N$3:$T$60,7,FALSE)),FALSE))</f>
        <v/>
      </c>
      <c r="H25" s="3" t="e">
        <f>VLOOKUP(A25,LookupLists!$I$3:$L$60,1,FALSE)</f>
        <v>#N/A</v>
      </c>
      <c r="I25" s="3" t="e">
        <f>VLOOKUP(A25,LookupLists!$I$3:$L$60,2,FALSE)</f>
        <v>#N/A</v>
      </c>
      <c r="J25" s="3" t="e">
        <f>VLOOKUP(A25,LookupLists!$I$3:$L$60,3,FALSE)</f>
        <v>#N/A</v>
      </c>
      <c r="K25" s="3" t="e">
        <f>VLOOKUP(A25,LookupLists!$I$3:$L$60,4,FALSE)</f>
        <v>#N/A</v>
      </c>
      <c r="L25" s="3" t="e">
        <f>VLOOKUP(C25,LookupLists!$A$3:$G$60,1,FALSE)</f>
        <v>#N/A</v>
      </c>
      <c r="M25" s="3" t="e">
        <f>VLOOKUP(C25,LookupLists!$A$3:$G$60,4,FALSE)</f>
        <v>#N/A</v>
      </c>
      <c r="N25" s="3" t="e">
        <f>VLOOKUP(C25,LookupLists!$A$3:$G$60,2,FALSE)</f>
        <v>#N/A</v>
      </c>
      <c r="O25" s="3" t="e">
        <f>VLOOKUP(C25,LookupLists!$A$3:$G$60,3,FALSE)</f>
        <v>#N/A</v>
      </c>
      <c r="P25" s="3" t="e">
        <f>VLOOKUP(C25,LookupLists!$A$3:$G$60,5,FALSE)</f>
        <v>#N/A</v>
      </c>
      <c r="Q25" s="3" t="e">
        <f>VLOOKUP(C25,LookupLists!$A$3:$G$60,6,FALSE)</f>
        <v>#N/A</v>
      </c>
      <c r="R25" s="4" t="e">
        <f>VLOOKUP(C25,LookupLists!$A$3:$G$60,7,FALSE)</f>
        <v>#N/A</v>
      </c>
      <c r="S25" s="3" t="e">
        <f>VLOOKUP(D25,LookupLists!$N$4:$T$60,1,FALSE)</f>
        <v>#N/A</v>
      </c>
      <c r="T25" s="3" t="e">
        <f>VLOOKUP(D25,LookupLists!$N$4:$T$60,2,FALSE)</f>
        <v>#N/A</v>
      </c>
      <c r="U25" s="3" t="e">
        <f>VLOOKUP(D25,LookupLists!$N$4:$T$60,3,FALSE)</f>
        <v>#N/A</v>
      </c>
      <c r="V25" s="3" t="e">
        <f>VLOOKUP(D25,LookupLists!$N$4:$T$60,5,FALSE)</f>
        <v>#N/A</v>
      </c>
    </row>
    <row r="26" spans="5:22" x14ac:dyDescent="0.3">
      <c r="E26" s="3" t="str">
        <f t="shared" si="0"/>
        <v/>
      </c>
      <c r="F26" s="3" t="str">
        <f xml:space="preserve"> IF(E26="","",  IFERROR(VLOOKUP(D26,LookupLists!$N$3:$T$60,6,FALSE)-LEN(E26),0))</f>
        <v/>
      </c>
      <c r="G26" s="3" t="str">
        <f>IF(E26="","",IFERROR(matches(E26,VLOOKUP(D26,LookupLists!$N$3:$T$60,7,FALSE)),FALSE))</f>
        <v/>
      </c>
      <c r="H26" s="3" t="e">
        <f>VLOOKUP(A26,LookupLists!$I$3:$L$60,1,FALSE)</f>
        <v>#N/A</v>
      </c>
      <c r="I26" s="3" t="e">
        <f>VLOOKUP(A26,LookupLists!$I$3:$L$60,2,FALSE)</f>
        <v>#N/A</v>
      </c>
      <c r="J26" s="3" t="e">
        <f>VLOOKUP(A26,LookupLists!$I$3:$L$60,3,FALSE)</f>
        <v>#N/A</v>
      </c>
      <c r="K26" s="3" t="e">
        <f>VLOOKUP(A26,LookupLists!$I$3:$L$60,4,FALSE)</f>
        <v>#N/A</v>
      </c>
      <c r="L26" s="3" t="e">
        <f>VLOOKUP(C26,LookupLists!$A$3:$G$60,1,FALSE)</f>
        <v>#N/A</v>
      </c>
      <c r="M26" s="3" t="e">
        <f>VLOOKUP(C26,LookupLists!$A$3:$G$60,4,FALSE)</f>
        <v>#N/A</v>
      </c>
      <c r="N26" s="3" t="e">
        <f>VLOOKUP(C26,LookupLists!$A$3:$G$60,2,FALSE)</f>
        <v>#N/A</v>
      </c>
      <c r="O26" s="3" t="e">
        <f>VLOOKUP(C26,LookupLists!$A$3:$G$60,3,FALSE)</f>
        <v>#N/A</v>
      </c>
      <c r="P26" s="3" t="e">
        <f>VLOOKUP(C26,LookupLists!$A$3:$G$60,5,FALSE)</f>
        <v>#N/A</v>
      </c>
      <c r="Q26" s="3" t="e">
        <f>VLOOKUP(C26,LookupLists!$A$3:$G$60,6,FALSE)</f>
        <v>#N/A</v>
      </c>
      <c r="R26" s="4" t="e">
        <f>VLOOKUP(C26,LookupLists!$A$3:$G$60,7,FALSE)</f>
        <v>#N/A</v>
      </c>
      <c r="S26" s="3" t="e">
        <f>VLOOKUP(D26,LookupLists!$N$4:$T$60,1,FALSE)</f>
        <v>#N/A</v>
      </c>
      <c r="T26" s="3" t="e">
        <f>VLOOKUP(D26,LookupLists!$N$4:$T$60,2,FALSE)</f>
        <v>#N/A</v>
      </c>
      <c r="U26" s="3" t="e">
        <f>VLOOKUP(D26,LookupLists!$N$4:$T$60,3,FALSE)</f>
        <v>#N/A</v>
      </c>
      <c r="V26" s="3" t="e">
        <f>VLOOKUP(D26,LookupLists!$N$4:$T$60,5,FALSE)</f>
        <v>#N/A</v>
      </c>
    </row>
    <row r="27" spans="5:22" x14ac:dyDescent="0.3">
      <c r="E27" s="3" t="str">
        <f t="shared" si="0"/>
        <v/>
      </c>
      <c r="F27" s="3" t="str">
        <f xml:space="preserve"> IF(E27="","",  IFERROR(VLOOKUP(D27,LookupLists!$N$3:$T$60,6,FALSE)-LEN(E27),0))</f>
        <v/>
      </c>
      <c r="G27" s="3" t="str">
        <f>IF(E27="","",IFERROR(matches(E27,VLOOKUP(D27,LookupLists!$N$3:$T$60,7,FALSE)),FALSE))</f>
        <v/>
      </c>
      <c r="H27" s="3" t="e">
        <f>VLOOKUP(A27,LookupLists!$I$3:$L$60,1,FALSE)</f>
        <v>#N/A</v>
      </c>
      <c r="I27" s="3" t="e">
        <f>VLOOKUP(A27,LookupLists!$I$3:$L$60,2,FALSE)</f>
        <v>#N/A</v>
      </c>
      <c r="J27" s="3" t="e">
        <f>VLOOKUP(A27,LookupLists!$I$3:$L$60,3,FALSE)</f>
        <v>#N/A</v>
      </c>
      <c r="K27" s="3" t="e">
        <f>VLOOKUP(A27,LookupLists!$I$3:$L$60,4,FALSE)</f>
        <v>#N/A</v>
      </c>
      <c r="L27" s="3" t="e">
        <f>VLOOKUP(C27,LookupLists!$A$3:$G$60,1,FALSE)</f>
        <v>#N/A</v>
      </c>
      <c r="M27" s="3" t="e">
        <f>VLOOKUP(C27,LookupLists!$A$3:$G$60,4,FALSE)</f>
        <v>#N/A</v>
      </c>
      <c r="N27" s="3" t="e">
        <f>VLOOKUP(C27,LookupLists!$A$3:$G$60,2,FALSE)</f>
        <v>#N/A</v>
      </c>
      <c r="O27" s="3" t="e">
        <f>VLOOKUP(C27,LookupLists!$A$3:$G$60,3,FALSE)</f>
        <v>#N/A</v>
      </c>
      <c r="P27" s="3" t="e">
        <f>VLOOKUP(C27,LookupLists!$A$3:$G$60,5,FALSE)</f>
        <v>#N/A</v>
      </c>
      <c r="Q27" s="3" t="e">
        <f>VLOOKUP(C27,LookupLists!$A$3:$G$60,6,FALSE)</f>
        <v>#N/A</v>
      </c>
      <c r="R27" s="4" t="e">
        <f>VLOOKUP(C27,LookupLists!$A$3:$G$60,7,FALSE)</f>
        <v>#N/A</v>
      </c>
      <c r="S27" s="3" t="e">
        <f>VLOOKUP(D27,LookupLists!$N$4:$T$60,1,FALSE)</f>
        <v>#N/A</v>
      </c>
      <c r="T27" s="3" t="e">
        <f>VLOOKUP(D27,LookupLists!$N$4:$T$60,2,FALSE)</f>
        <v>#N/A</v>
      </c>
      <c r="U27" s="3" t="e">
        <f>VLOOKUP(D27,LookupLists!$N$4:$T$60,3,FALSE)</f>
        <v>#N/A</v>
      </c>
      <c r="V27" s="3" t="e">
        <f>VLOOKUP(D27,LookupLists!$N$4:$T$60,5,FALSE)</f>
        <v>#N/A</v>
      </c>
    </row>
    <row r="28" spans="5:22" x14ac:dyDescent="0.3">
      <c r="E28" s="3" t="str">
        <f t="shared" si="0"/>
        <v/>
      </c>
      <c r="F28" s="3" t="str">
        <f xml:space="preserve"> IF(E28="","",  IFERROR(VLOOKUP(D28,LookupLists!$N$3:$T$60,6,FALSE)-LEN(E28),0))</f>
        <v/>
      </c>
      <c r="G28" s="3" t="str">
        <f>IF(E28="","",IFERROR(matches(E28,VLOOKUP(D28,LookupLists!$N$3:$T$60,7,FALSE)),FALSE))</f>
        <v/>
      </c>
      <c r="H28" s="3" t="e">
        <f>VLOOKUP(A28,LookupLists!$I$3:$L$60,1,FALSE)</f>
        <v>#N/A</v>
      </c>
      <c r="I28" s="3" t="e">
        <f>VLOOKUP(A28,LookupLists!$I$3:$L$60,2,FALSE)</f>
        <v>#N/A</v>
      </c>
      <c r="J28" s="3" t="e">
        <f>VLOOKUP(A28,LookupLists!$I$3:$L$60,3,FALSE)</f>
        <v>#N/A</v>
      </c>
      <c r="K28" s="3" t="e">
        <f>VLOOKUP(A28,LookupLists!$I$3:$L$60,4,FALSE)</f>
        <v>#N/A</v>
      </c>
      <c r="L28" s="3" t="e">
        <f>VLOOKUP(C28,LookupLists!$A$3:$G$60,1,FALSE)</f>
        <v>#N/A</v>
      </c>
      <c r="M28" s="3" t="e">
        <f>VLOOKUP(C28,LookupLists!$A$3:$G$60,4,FALSE)</f>
        <v>#N/A</v>
      </c>
      <c r="N28" s="3" t="e">
        <f>VLOOKUP(C28,LookupLists!$A$3:$G$60,2,FALSE)</f>
        <v>#N/A</v>
      </c>
      <c r="O28" s="3" t="e">
        <f>VLOOKUP(C28,LookupLists!$A$3:$G$60,3,FALSE)</f>
        <v>#N/A</v>
      </c>
      <c r="P28" s="3" t="e">
        <f>VLOOKUP(C28,LookupLists!$A$3:$G$60,5,FALSE)</f>
        <v>#N/A</v>
      </c>
      <c r="Q28" s="3" t="e">
        <f>VLOOKUP(C28,LookupLists!$A$3:$G$60,6,FALSE)</f>
        <v>#N/A</v>
      </c>
      <c r="R28" s="4" t="e">
        <f>VLOOKUP(C28,LookupLists!$A$3:$G$60,7,FALSE)</f>
        <v>#N/A</v>
      </c>
      <c r="S28" s="3" t="e">
        <f>VLOOKUP(D28,LookupLists!$N$4:$T$60,1,FALSE)</f>
        <v>#N/A</v>
      </c>
      <c r="T28" s="3" t="e">
        <f>VLOOKUP(D28,LookupLists!$N$4:$T$60,2,FALSE)</f>
        <v>#N/A</v>
      </c>
      <c r="U28" s="3" t="e">
        <f>VLOOKUP(D28,LookupLists!$N$4:$T$60,3,FALSE)</f>
        <v>#N/A</v>
      </c>
      <c r="V28" s="3" t="e">
        <f>VLOOKUP(D28,LookupLists!$N$4:$T$60,5,FALSE)</f>
        <v>#N/A</v>
      </c>
    </row>
    <row r="29" spans="5:22" x14ac:dyDescent="0.3">
      <c r="E29" s="3" t="str">
        <f t="shared" si="0"/>
        <v/>
      </c>
      <c r="F29" s="3" t="str">
        <f xml:space="preserve"> IF(E29="","",  IFERROR(VLOOKUP(D29,LookupLists!$N$3:$T$60,6,FALSE)-LEN(E29),0))</f>
        <v/>
      </c>
      <c r="G29" s="3" t="str">
        <f>IF(E29="","",IFERROR(matches(E29,VLOOKUP(D29,LookupLists!$N$3:$T$60,7,FALSE)),FALSE))</f>
        <v/>
      </c>
      <c r="H29" s="3" t="e">
        <f>VLOOKUP(A29,LookupLists!$I$3:$L$60,1,FALSE)</f>
        <v>#N/A</v>
      </c>
      <c r="I29" s="3" t="e">
        <f>VLOOKUP(A29,LookupLists!$I$3:$L$60,2,FALSE)</f>
        <v>#N/A</v>
      </c>
      <c r="J29" s="3" t="e">
        <f>VLOOKUP(A29,LookupLists!$I$3:$L$60,3,FALSE)</f>
        <v>#N/A</v>
      </c>
      <c r="K29" s="3" t="e">
        <f>VLOOKUP(A29,LookupLists!$I$3:$L$60,4,FALSE)</f>
        <v>#N/A</v>
      </c>
      <c r="L29" s="3" t="e">
        <f>VLOOKUP(C29,LookupLists!$A$3:$G$60,1,FALSE)</f>
        <v>#N/A</v>
      </c>
      <c r="M29" s="3" t="e">
        <f>VLOOKUP(C29,LookupLists!$A$3:$G$60,4,FALSE)</f>
        <v>#N/A</v>
      </c>
      <c r="N29" s="3" t="e">
        <f>VLOOKUP(C29,LookupLists!$A$3:$G$60,2,FALSE)</f>
        <v>#N/A</v>
      </c>
      <c r="O29" s="3" t="e">
        <f>VLOOKUP(C29,LookupLists!$A$3:$G$60,3,FALSE)</f>
        <v>#N/A</v>
      </c>
      <c r="P29" s="3" t="e">
        <f>VLOOKUP(C29,LookupLists!$A$3:$G$60,5,FALSE)</f>
        <v>#N/A</v>
      </c>
      <c r="Q29" s="3" t="e">
        <f>VLOOKUP(C29,LookupLists!$A$3:$G$60,6,FALSE)</f>
        <v>#N/A</v>
      </c>
      <c r="R29" s="4" t="e">
        <f>VLOOKUP(C29,LookupLists!$A$3:$G$60,7,FALSE)</f>
        <v>#N/A</v>
      </c>
      <c r="S29" s="3" t="e">
        <f>VLOOKUP(D29,LookupLists!$N$4:$T$60,1,FALSE)</f>
        <v>#N/A</v>
      </c>
      <c r="T29" s="3" t="e">
        <f>VLOOKUP(D29,LookupLists!$N$4:$T$60,2,FALSE)</f>
        <v>#N/A</v>
      </c>
      <c r="U29" s="3" t="e">
        <f>VLOOKUP(D29,LookupLists!$N$4:$T$60,3,FALSE)</f>
        <v>#N/A</v>
      </c>
      <c r="V29" s="3" t="e">
        <f>VLOOKUP(D29,LookupLists!$N$4:$T$60,5,FALSE)</f>
        <v>#N/A</v>
      </c>
    </row>
    <row r="30" spans="5:22" x14ac:dyDescent="0.3">
      <c r="E30" s="3" t="str">
        <f t="shared" si="0"/>
        <v/>
      </c>
      <c r="F30" s="3" t="str">
        <f xml:space="preserve"> IF(E30="","",  IFERROR(VLOOKUP(D30,LookupLists!$N$3:$T$60,6,FALSE)-LEN(E30),0))</f>
        <v/>
      </c>
      <c r="G30" s="3" t="str">
        <f>IF(E30="","",IFERROR(matches(E30,VLOOKUP(D30,LookupLists!$N$3:$T$60,7,FALSE)),FALSE))</f>
        <v/>
      </c>
      <c r="H30" s="3" t="e">
        <f>VLOOKUP(A30,LookupLists!$I$3:$L$60,1,FALSE)</f>
        <v>#N/A</v>
      </c>
      <c r="I30" s="3" t="e">
        <f>VLOOKUP(A30,LookupLists!$I$3:$L$60,2,FALSE)</f>
        <v>#N/A</v>
      </c>
      <c r="J30" s="3" t="e">
        <f>VLOOKUP(A30,LookupLists!$I$3:$L$60,3,FALSE)</f>
        <v>#N/A</v>
      </c>
      <c r="K30" s="3" t="e">
        <f>VLOOKUP(A30,LookupLists!$I$3:$L$60,4,FALSE)</f>
        <v>#N/A</v>
      </c>
      <c r="L30" s="3" t="e">
        <f>VLOOKUP(C30,LookupLists!$A$3:$G$60,1,FALSE)</f>
        <v>#N/A</v>
      </c>
      <c r="M30" s="3" t="e">
        <f>VLOOKUP(C30,LookupLists!$A$3:$G$60,4,FALSE)</f>
        <v>#N/A</v>
      </c>
      <c r="N30" s="3" t="e">
        <f>VLOOKUP(C30,LookupLists!$A$3:$G$60,2,FALSE)</f>
        <v>#N/A</v>
      </c>
      <c r="O30" s="3" t="e">
        <f>VLOOKUP(C30,LookupLists!$A$3:$G$60,3,FALSE)</f>
        <v>#N/A</v>
      </c>
      <c r="P30" s="3" t="e">
        <f>VLOOKUP(C30,LookupLists!$A$3:$G$60,5,FALSE)</f>
        <v>#N/A</v>
      </c>
      <c r="Q30" s="3" t="e">
        <f>VLOOKUP(C30,LookupLists!$A$3:$G$60,6,FALSE)</f>
        <v>#N/A</v>
      </c>
      <c r="R30" s="4" t="e">
        <f>VLOOKUP(C30,LookupLists!$A$3:$G$60,7,FALSE)</f>
        <v>#N/A</v>
      </c>
      <c r="S30" s="3" t="e">
        <f>VLOOKUP(D30,LookupLists!$N$4:$T$60,1,FALSE)</f>
        <v>#N/A</v>
      </c>
      <c r="T30" s="3" t="e">
        <f>VLOOKUP(D30,LookupLists!$N$4:$T$60,2,FALSE)</f>
        <v>#N/A</v>
      </c>
      <c r="U30" s="3" t="e">
        <f>VLOOKUP(D30,LookupLists!$N$4:$T$60,3,FALSE)</f>
        <v>#N/A</v>
      </c>
      <c r="V30" s="3" t="e">
        <f>VLOOKUP(D30,LookupLists!$N$4:$T$60,5,FALSE)</f>
        <v>#N/A</v>
      </c>
    </row>
    <row r="31" spans="5:22" x14ac:dyDescent="0.3">
      <c r="E31" s="3" t="str">
        <f t="shared" si="0"/>
        <v/>
      </c>
      <c r="F31" s="3" t="str">
        <f xml:space="preserve"> IF(E31="","",  IFERROR(VLOOKUP(D31,LookupLists!$N$3:$T$60,6,FALSE)-LEN(E31),0))</f>
        <v/>
      </c>
      <c r="G31" s="3" t="str">
        <f>IF(E31="","",IFERROR(matches(E31,VLOOKUP(D31,LookupLists!$N$3:$T$60,7,FALSE)),FALSE))</f>
        <v/>
      </c>
      <c r="H31" s="3" t="e">
        <f>VLOOKUP(A31,LookupLists!$I$3:$L$60,1,FALSE)</f>
        <v>#N/A</v>
      </c>
      <c r="I31" s="3" t="e">
        <f>VLOOKUP(A31,LookupLists!$I$3:$L$60,2,FALSE)</f>
        <v>#N/A</v>
      </c>
      <c r="J31" s="3" t="e">
        <f>VLOOKUP(A31,LookupLists!$I$3:$L$60,3,FALSE)</f>
        <v>#N/A</v>
      </c>
      <c r="K31" s="3" t="e">
        <f>VLOOKUP(A31,LookupLists!$I$3:$L$60,4,FALSE)</f>
        <v>#N/A</v>
      </c>
      <c r="L31" s="3" t="e">
        <f>VLOOKUP(C31,LookupLists!$A$3:$G$60,1,FALSE)</f>
        <v>#N/A</v>
      </c>
      <c r="M31" s="3" t="e">
        <f>VLOOKUP(C31,LookupLists!$A$3:$G$60,4,FALSE)</f>
        <v>#N/A</v>
      </c>
      <c r="N31" s="3" t="e">
        <f>VLOOKUP(C31,LookupLists!$A$3:$G$60,2,FALSE)</f>
        <v>#N/A</v>
      </c>
      <c r="O31" s="3" t="e">
        <f>VLOOKUP(C31,LookupLists!$A$3:$G$60,3,FALSE)</f>
        <v>#N/A</v>
      </c>
      <c r="P31" s="3" t="e">
        <f>VLOOKUP(C31,LookupLists!$A$3:$G$60,5,FALSE)</f>
        <v>#N/A</v>
      </c>
      <c r="Q31" s="3" t="e">
        <f>VLOOKUP(C31,LookupLists!$A$3:$G$60,6,FALSE)</f>
        <v>#N/A</v>
      </c>
      <c r="R31" s="4" t="e">
        <f>VLOOKUP(C31,LookupLists!$A$3:$G$60,7,FALSE)</f>
        <v>#N/A</v>
      </c>
      <c r="S31" s="3" t="e">
        <f>VLOOKUP(D31,LookupLists!$N$4:$T$60,1,FALSE)</f>
        <v>#N/A</v>
      </c>
      <c r="T31" s="3" t="e">
        <f>VLOOKUP(D31,LookupLists!$N$4:$T$60,2,FALSE)</f>
        <v>#N/A</v>
      </c>
      <c r="U31" s="3" t="e">
        <f>VLOOKUP(D31,LookupLists!$N$4:$T$60,3,FALSE)</f>
        <v>#N/A</v>
      </c>
      <c r="V31" s="3" t="e">
        <f>VLOOKUP(D31,LookupLists!$N$4:$T$60,5,FALSE)</f>
        <v>#N/A</v>
      </c>
    </row>
    <row r="32" spans="5:22" x14ac:dyDescent="0.3">
      <c r="E32" s="3" t="str">
        <f t="shared" si="0"/>
        <v/>
      </c>
      <c r="F32" s="3" t="str">
        <f xml:space="preserve"> IF(E32="","",  IFERROR(VLOOKUP(D32,LookupLists!$N$3:$T$60,6,FALSE)-LEN(E32),0))</f>
        <v/>
      </c>
      <c r="G32" s="3" t="str">
        <f>IF(E32="","",IFERROR(matches(E32,VLOOKUP(D32,LookupLists!$N$3:$T$60,7,FALSE)),FALSE))</f>
        <v/>
      </c>
      <c r="H32" s="3" t="e">
        <f>VLOOKUP(A32,LookupLists!$I$3:$L$60,1,FALSE)</f>
        <v>#N/A</v>
      </c>
      <c r="I32" s="3" t="e">
        <f>VLOOKUP(A32,LookupLists!$I$3:$L$60,2,FALSE)</f>
        <v>#N/A</v>
      </c>
      <c r="J32" s="3" t="e">
        <f>VLOOKUP(A32,LookupLists!$I$3:$L$60,3,FALSE)</f>
        <v>#N/A</v>
      </c>
      <c r="K32" s="3" t="e">
        <f>VLOOKUP(A32,LookupLists!$I$3:$L$60,4,FALSE)</f>
        <v>#N/A</v>
      </c>
      <c r="L32" s="3" t="e">
        <f>VLOOKUP(C32,LookupLists!$A$3:$G$60,1,FALSE)</f>
        <v>#N/A</v>
      </c>
      <c r="M32" s="3" t="e">
        <f>VLOOKUP(C32,LookupLists!$A$3:$G$60,4,FALSE)</f>
        <v>#N/A</v>
      </c>
      <c r="N32" s="3" t="e">
        <f>VLOOKUP(C32,LookupLists!$A$3:$G$60,2,FALSE)</f>
        <v>#N/A</v>
      </c>
      <c r="O32" s="3" t="e">
        <f>VLOOKUP(C32,LookupLists!$A$3:$G$60,3,FALSE)</f>
        <v>#N/A</v>
      </c>
      <c r="P32" s="3" t="e">
        <f>VLOOKUP(C32,LookupLists!$A$3:$G$60,5,FALSE)</f>
        <v>#N/A</v>
      </c>
      <c r="Q32" s="3" t="e">
        <f>VLOOKUP(C32,LookupLists!$A$3:$G$60,6,FALSE)</f>
        <v>#N/A</v>
      </c>
      <c r="R32" s="4" t="e">
        <f>VLOOKUP(C32,LookupLists!$A$3:$G$60,7,FALSE)</f>
        <v>#N/A</v>
      </c>
      <c r="S32" s="3" t="e">
        <f>VLOOKUP(D32,LookupLists!$N$4:$T$60,1,FALSE)</f>
        <v>#N/A</v>
      </c>
      <c r="T32" s="3" t="e">
        <f>VLOOKUP(D32,LookupLists!$N$4:$T$60,2,FALSE)</f>
        <v>#N/A</v>
      </c>
      <c r="U32" s="3" t="e">
        <f>VLOOKUP(D32,LookupLists!$N$4:$T$60,3,FALSE)</f>
        <v>#N/A</v>
      </c>
      <c r="V32" s="3" t="e">
        <f>VLOOKUP(D32,LookupLists!$N$4:$T$60,5,FALSE)</f>
        <v>#N/A</v>
      </c>
    </row>
    <row r="33" spans="5:22" x14ac:dyDescent="0.3">
      <c r="E33" s="3" t="str">
        <f t="shared" si="0"/>
        <v/>
      </c>
      <c r="F33" s="3" t="str">
        <f xml:space="preserve"> IF(E33="","",  IFERROR(VLOOKUP(D33,LookupLists!$N$3:$T$60,6,FALSE)-LEN(E33),0))</f>
        <v/>
      </c>
      <c r="G33" s="3" t="str">
        <f>IF(E33="","",IFERROR(matches(E33,VLOOKUP(D33,LookupLists!$N$3:$T$60,7,FALSE)),FALSE))</f>
        <v/>
      </c>
      <c r="H33" s="3" t="e">
        <f>VLOOKUP(A33,LookupLists!$I$3:$L$60,1,FALSE)</f>
        <v>#N/A</v>
      </c>
      <c r="I33" s="3" t="e">
        <f>VLOOKUP(A33,LookupLists!$I$3:$L$60,2,FALSE)</f>
        <v>#N/A</v>
      </c>
      <c r="J33" s="3" t="e">
        <f>VLOOKUP(A33,LookupLists!$I$3:$L$60,3,FALSE)</f>
        <v>#N/A</v>
      </c>
      <c r="K33" s="3" t="e">
        <f>VLOOKUP(A33,LookupLists!$I$3:$L$60,4,FALSE)</f>
        <v>#N/A</v>
      </c>
      <c r="L33" s="3" t="e">
        <f>VLOOKUP(C33,LookupLists!$A$3:$G$60,1,FALSE)</f>
        <v>#N/A</v>
      </c>
      <c r="M33" s="3" t="e">
        <f>VLOOKUP(C33,LookupLists!$A$3:$G$60,4,FALSE)</f>
        <v>#N/A</v>
      </c>
      <c r="N33" s="3" t="e">
        <f>VLOOKUP(C33,LookupLists!$A$3:$G$60,2,FALSE)</f>
        <v>#N/A</v>
      </c>
      <c r="O33" s="3" t="e">
        <f>VLOOKUP(C33,LookupLists!$A$3:$G$60,3,FALSE)</f>
        <v>#N/A</v>
      </c>
      <c r="P33" s="3" t="e">
        <f>VLOOKUP(C33,LookupLists!$A$3:$G$60,5,FALSE)</f>
        <v>#N/A</v>
      </c>
      <c r="Q33" s="3" t="e">
        <f>VLOOKUP(C33,LookupLists!$A$3:$G$60,6,FALSE)</f>
        <v>#N/A</v>
      </c>
      <c r="R33" s="4" t="e">
        <f>VLOOKUP(C33,LookupLists!$A$3:$G$60,7,FALSE)</f>
        <v>#N/A</v>
      </c>
      <c r="S33" s="3" t="e">
        <f>VLOOKUP(D33,LookupLists!$N$4:$T$60,1,FALSE)</f>
        <v>#N/A</v>
      </c>
      <c r="T33" s="3" t="e">
        <f>VLOOKUP(D33,LookupLists!$N$4:$T$60,2,FALSE)</f>
        <v>#N/A</v>
      </c>
      <c r="U33" s="3" t="e">
        <f>VLOOKUP(D33,LookupLists!$N$4:$T$60,3,FALSE)</f>
        <v>#N/A</v>
      </c>
      <c r="V33" s="3" t="e">
        <f>VLOOKUP(D33,LookupLists!$N$4:$T$60,5,FALSE)</f>
        <v>#N/A</v>
      </c>
    </row>
    <row r="34" spans="5:22" x14ac:dyDescent="0.3">
      <c r="E34" s="3" t="str">
        <f t="shared" si="0"/>
        <v/>
      </c>
      <c r="F34" s="3" t="str">
        <f xml:space="preserve"> IF(E34="","",  IFERROR(VLOOKUP(D34,LookupLists!$N$3:$T$60,6,FALSE)-LEN(E34),0))</f>
        <v/>
      </c>
      <c r="G34" s="3" t="str">
        <f>IF(E34="","",IFERROR(matches(E34,VLOOKUP(D34,LookupLists!$N$3:$T$60,7,FALSE)),FALSE))</f>
        <v/>
      </c>
      <c r="H34" s="3" t="e">
        <f>VLOOKUP(A34,LookupLists!$I$3:$L$60,1,FALSE)</f>
        <v>#N/A</v>
      </c>
      <c r="I34" s="3" t="e">
        <f>VLOOKUP(A34,LookupLists!$I$3:$L$60,2,FALSE)</f>
        <v>#N/A</v>
      </c>
      <c r="J34" s="3" t="e">
        <f>VLOOKUP(A34,LookupLists!$I$3:$L$60,3,FALSE)</f>
        <v>#N/A</v>
      </c>
      <c r="K34" s="3" t="e">
        <f>VLOOKUP(A34,LookupLists!$I$3:$L$60,4,FALSE)</f>
        <v>#N/A</v>
      </c>
      <c r="L34" s="3" t="e">
        <f>VLOOKUP(C34,LookupLists!$A$3:$G$60,1,FALSE)</f>
        <v>#N/A</v>
      </c>
      <c r="M34" s="3" t="e">
        <f>VLOOKUP(C34,LookupLists!$A$3:$G$60,4,FALSE)</f>
        <v>#N/A</v>
      </c>
      <c r="N34" s="3" t="e">
        <f>VLOOKUP(C34,LookupLists!$A$3:$G$60,2,FALSE)</f>
        <v>#N/A</v>
      </c>
      <c r="O34" s="3" t="e">
        <f>VLOOKUP(C34,LookupLists!$A$3:$G$60,3,FALSE)</f>
        <v>#N/A</v>
      </c>
      <c r="P34" s="3" t="e">
        <f>VLOOKUP(C34,LookupLists!$A$3:$G$60,5,FALSE)</f>
        <v>#N/A</v>
      </c>
      <c r="Q34" s="3" t="e">
        <f>VLOOKUP(C34,LookupLists!$A$3:$G$60,6,FALSE)</f>
        <v>#N/A</v>
      </c>
      <c r="R34" s="4" t="e">
        <f>VLOOKUP(C34,LookupLists!$A$3:$G$60,7,FALSE)</f>
        <v>#N/A</v>
      </c>
      <c r="S34" s="3" t="e">
        <f>VLOOKUP(D34,LookupLists!$N$4:$T$60,1,FALSE)</f>
        <v>#N/A</v>
      </c>
      <c r="T34" s="3" t="e">
        <f>VLOOKUP(D34,LookupLists!$N$4:$T$60,2,FALSE)</f>
        <v>#N/A</v>
      </c>
      <c r="U34" s="3" t="e">
        <f>VLOOKUP(D34,LookupLists!$N$4:$T$60,3,FALSE)</f>
        <v>#N/A</v>
      </c>
      <c r="V34" s="3" t="e">
        <f>VLOOKUP(D34,LookupLists!$N$4:$T$60,5,FALSE)</f>
        <v>#N/A</v>
      </c>
    </row>
    <row r="35" spans="5:22" x14ac:dyDescent="0.3">
      <c r="E35" s="3" t="str">
        <f t="shared" si="0"/>
        <v/>
      </c>
      <c r="F35" s="3" t="str">
        <f xml:space="preserve"> IF(E35="","",  IFERROR(VLOOKUP(D35,LookupLists!$N$3:$T$60,6,FALSE)-LEN(E35),0))</f>
        <v/>
      </c>
      <c r="G35" s="3" t="str">
        <f>IF(E35="","",IFERROR(matches(E35,VLOOKUP(D35,LookupLists!$N$3:$T$60,7,FALSE)),FALSE))</f>
        <v/>
      </c>
      <c r="H35" s="3" t="e">
        <f>VLOOKUP(A35,LookupLists!$I$3:$L$60,1,FALSE)</f>
        <v>#N/A</v>
      </c>
      <c r="I35" s="3" t="e">
        <f>VLOOKUP(A35,LookupLists!$I$3:$L$60,2,FALSE)</f>
        <v>#N/A</v>
      </c>
      <c r="J35" s="3" t="e">
        <f>VLOOKUP(A35,LookupLists!$I$3:$L$60,3,FALSE)</f>
        <v>#N/A</v>
      </c>
      <c r="K35" s="3" t="e">
        <f>VLOOKUP(A35,LookupLists!$I$3:$L$60,4,FALSE)</f>
        <v>#N/A</v>
      </c>
      <c r="L35" s="3" t="e">
        <f>VLOOKUP(C35,LookupLists!$A$3:$G$60,1,FALSE)</f>
        <v>#N/A</v>
      </c>
      <c r="M35" s="3" t="e">
        <f>VLOOKUP(C35,LookupLists!$A$3:$G$60,4,FALSE)</f>
        <v>#N/A</v>
      </c>
      <c r="N35" s="3" t="e">
        <f>VLOOKUP(C35,LookupLists!$A$3:$G$60,2,FALSE)</f>
        <v>#N/A</v>
      </c>
      <c r="O35" s="3" t="e">
        <f>VLOOKUP(C35,LookupLists!$A$3:$G$60,3,FALSE)</f>
        <v>#N/A</v>
      </c>
      <c r="P35" s="3" t="e">
        <f>VLOOKUP(C35,LookupLists!$A$3:$G$60,5,FALSE)</f>
        <v>#N/A</v>
      </c>
      <c r="Q35" s="3" t="e">
        <f>VLOOKUP(C35,LookupLists!$A$3:$G$60,6,FALSE)</f>
        <v>#N/A</v>
      </c>
      <c r="R35" s="4" t="e">
        <f>VLOOKUP(C35,LookupLists!$A$3:$G$60,7,FALSE)</f>
        <v>#N/A</v>
      </c>
      <c r="S35" s="3" t="e">
        <f>VLOOKUP(D35,LookupLists!$N$4:$T$60,1,FALSE)</f>
        <v>#N/A</v>
      </c>
      <c r="T35" s="3" t="e">
        <f>VLOOKUP(D35,LookupLists!$N$4:$T$60,2,FALSE)</f>
        <v>#N/A</v>
      </c>
      <c r="U35" s="3" t="e">
        <f>VLOOKUP(D35,LookupLists!$N$4:$T$60,3,FALSE)</f>
        <v>#N/A</v>
      </c>
      <c r="V35" s="3" t="e">
        <f>VLOOKUP(D35,LookupLists!$N$4:$T$60,5,FALSE)</f>
        <v>#N/A</v>
      </c>
    </row>
    <row r="36" spans="5:22" x14ac:dyDescent="0.3">
      <c r="E36" s="3" t="str">
        <f t="shared" si="0"/>
        <v/>
      </c>
      <c r="F36" s="3" t="str">
        <f xml:space="preserve"> IF(E36="","",  IFERROR(VLOOKUP(D36,LookupLists!$N$3:$T$60,6,FALSE)-LEN(E36),0))</f>
        <v/>
      </c>
      <c r="G36" s="3" t="str">
        <f>IF(E36="","",IFERROR(matches(E36,VLOOKUP(D36,LookupLists!$N$3:$T$60,7,FALSE)),FALSE))</f>
        <v/>
      </c>
      <c r="H36" s="3" t="e">
        <f>VLOOKUP(A36,LookupLists!$I$3:$L$60,1,FALSE)</f>
        <v>#N/A</v>
      </c>
      <c r="I36" s="3" t="e">
        <f>VLOOKUP(A36,LookupLists!$I$3:$L$60,2,FALSE)</f>
        <v>#N/A</v>
      </c>
      <c r="J36" s="3" t="e">
        <f>VLOOKUP(A36,LookupLists!$I$3:$L$60,3,FALSE)</f>
        <v>#N/A</v>
      </c>
      <c r="K36" s="3" t="e">
        <f>VLOOKUP(A36,LookupLists!$I$3:$L$60,4,FALSE)</f>
        <v>#N/A</v>
      </c>
      <c r="L36" s="3" t="e">
        <f>VLOOKUP(C36,LookupLists!$A$3:$G$60,1,FALSE)</f>
        <v>#N/A</v>
      </c>
      <c r="M36" s="3" t="e">
        <f>VLOOKUP(C36,LookupLists!$A$3:$G$60,4,FALSE)</f>
        <v>#N/A</v>
      </c>
      <c r="N36" s="3" t="e">
        <f>VLOOKUP(C36,LookupLists!$A$3:$G$60,2,FALSE)</f>
        <v>#N/A</v>
      </c>
      <c r="O36" s="3" t="e">
        <f>VLOOKUP(C36,LookupLists!$A$3:$G$60,3,FALSE)</f>
        <v>#N/A</v>
      </c>
      <c r="P36" s="3" t="e">
        <f>VLOOKUP(C36,LookupLists!$A$3:$G$60,5,FALSE)</f>
        <v>#N/A</v>
      </c>
      <c r="Q36" s="3" t="e">
        <f>VLOOKUP(C36,LookupLists!$A$3:$G$60,6,FALSE)</f>
        <v>#N/A</v>
      </c>
      <c r="R36" s="4" t="e">
        <f>VLOOKUP(C36,LookupLists!$A$3:$G$60,7,FALSE)</f>
        <v>#N/A</v>
      </c>
      <c r="S36" s="3" t="e">
        <f>VLOOKUP(D36,LookupLists!$N$4:$T$60,1,FALSE)</f>
        <v>#N/A</v>
      </c>
      <c r="T36" s="3" t="e">
        <f>VLOOKUP(D36,LookupLists!$N$4:$T$60,2,FALSE)</f>
        <v>#N/A</v>
      </c>
      <c r="U36" s="3" t="e">
        <f>VLOOKUP(D36,LookupLists!$N$4:$T$60,3,FALSE)</f>
        <v>#N/A</v>
      </c>
      <c r="V36" s="3" t="e">
        <f>VLOOKUP(D36,LookupLists!$N$4:$T$60,5,FALSE)</f>
        <v>#N/A</v>
      </c>
    </row>
    <row r="37" spans="5:22" x14ac:dyDescent="0.3">
      <c r="E37" s="3" t="str">
        <f t="shared" si="0"/>
        <v/>
      </c>
      <c r="F37" s="3" t="str">
        <f xml:space="preserve"> IF(E37="","",  IFERROR(VLOOKUP(D37,LookupLists!$N$3:$T$60,6,FALSE)-LEN(E37),0))</f>
        <v/>
      </c>
      <c r="G37" s="3" t="str">
        <f>IF(E37="","",IFERROR(matches(E37,VLOOKUP(D37,LookupLists!$N$3:$T$60,7,FALSE)),FALSE))</f>
        <v/>
      </c>
      <c r="H37" s="3" t="e">
        <f>VLOOKUP(A37,LookupLists!$I$3:$L$60,1,FALSE)</f>
        <v>#N/A</v>
      </c>
      <c r="I37" s="3" t="e">
        <f>VLOOKUP(A37,LookupLists!$I$3:$L$60,2,FALSE)</f>
        <v>#N/A</v>
      </c>
      <c r="J37" s="3" t="e">
        <f>VLOOKUP(A37,LookupLists!$I$3:$L$60,3,FALSE)</f>
        <v>#N/A</v>
      </c>
      <c r="K37" s="3" t="e">
        <f>VLOOKUP(A37,LookupLists!$I$3:$L$60,4,FALSE)</f>
        <v>#N/A</v>
      </c>
      <c r="L37" s="3" t="e">
        <f>VLOOKUP(C37,LookupLists!$A$3:$G$60,1,FALSE)</f>
        <v>#N/A</v>
      </c>
      <c r="M37" s="3" t="e">
        <f>VLOOKUP(C37,LookupLists!$A$3:$G$60,4,FALSE)</f>
        <v>#N/A</v>
      </c>
      <c r="N37" s="3" t="e">
        <f>VLOOKUP(C37,LookupLists!$A$3:$G$60,2,FALSE)</f>
        <v>#N/A</v>
      </c>
      <c r="O37" s="3" t="e">
        <f>VLOOKUP(C37,LookupLists!$A$3:$G$60,3,FALSE)</f>
        <v>#N/A</v>
      </c>
      <c r="P37" s="3" t="e">
        <f>VLOOKUP(C37,LookupLists!$A$3:$G$60,5,FALSE)</f>
        <v>#N/A</v>
      </c>
      <c r="Q37" s="3" t="e">
        <f>VLOOKUP(C37,LookupLists!$A$3:$G$60,6,FALSE)</f>
        <v>#N/A</v>
      </c>
      <c r="R37" s="4" t="e">
        <f>VLOOKUP(C37,LookupLists!$A$3:$G$60,7,FALSE)</f>
        <v>#N/A</v>
      </c>
      <c r="S37" s="3" t="e">
        <f>VLOOKUP(D37,LookupLists!$N$4:$T$60,1,FALSE)</f>
        <v>#N/A</v>
      </c>
      <c r="T37" s="3" t="e">
        <f>VLOOKUP(D37,LookupLists!$N$4:$T$60,2,FALSE)</f>
        <v>#N/A</v>
      </c>
      <c r="U37" s="3" t="e">
        <f>VLOOKUP(D37,LookupLists!$N$4:$T$60,3,FALSE)</f>
        <v>#N/A</v>
      </c>
      <c r="V37" s="3" t="e">
        <f>VLOOKUP(D37,LookupLists!$N$4:$T$60,5,FALSE)</f>
        <v>#N/A</v>
      </c>
    </row>
    <row r="38" spans="5:22" x14ac:dyDescent="0.3">
      <c r="E38" s="3" t="str">
        <f t="shared" si="0"/>
        <v/>
      </c>
      <c r="F38" s="3" t="str">
        <f xml:space="preserve"> IF(E38="","",  IFERROR(VLOOKUP(D38,LookupLists!$N$3:$T$60,6,FALSE)-LEN(E38),0))</f>
        <v/>
      </c>
      <c r="G38" s="3" t="str">
        <f>IF(E38="","",IFERROR(matches(E38,VLOOKUP(D38,LookupLists!$N$3:$T$60,7,FALSE)),FALSE))</f>
        <v/>
      </c>
      <c r="H38" s="3" t="e">
        <f>VLOOKUP(A38,LookupLists!$I$3:$L$60,1,FALSE)</f>
        <v>#N/A</v>
      </c>
      <c r="I38" s="3" t="e">
        <f>VLOOKUP(A38,LookupLists!$I$3:$L$60,2,FALSE)</f>
        <v>#N/A</v>
      </c>
      <c r="J38" s="3" t="e">
        <f>VLOOKUP(A38,LookupLists!$I$3:$L$60,3,FALSE)</f>
        <v>#N/A</v>
      </c>
      <c r="K38" s="3" t="e">
        <f>VLOOKUP(A38,LookupLists!$I$3:$L$60,4,FALSE)</f>
        <v>#N/A</v>
      </c>
      <c r="L38" s="3" t="e">
        <f>VLOOKUP(C38,LookupLists!$A$3:$G$60,1,FALSE)</f>
        <v>#N/A</v>
      </c>
      <c r="M38" s="3" t="e">
        <f>VLOOKUP(C38,LookupLists!$A$3:$G$60,4,FALSE)</f>
        <v>#N/A</v>
      </c>
      <c r="N38" s="3" t="e">
        <f>VLOOKUP(C38,LookupLists!$A$3:$G$60,2,FALSE)</f>
        <v>#N/A</v>
      </c>
      <c r="O38" s="3" t="e">
        <f>VLOOKUP(C38,LookupLists!$A$3:$G$60,3,FALSE)</f>
        <v>#N/A</v>
      </c>
      <c r="P38" s="3" t="e">
        <f>VLOOKUP(C38,LookupLists!$A$3:$G$60,5,FALSE)</f>
        <v>#N/A</v>
      </c>
      <c r="Q38" s="3" t="e">
        <f>VLOOKUP(C38,LookupLists!$A$3:$G$60,6,FALSE)</f>
        <v>#N/A</v>
      </c>
      <c r="R38" s="4" t="e">
        <f>VLOOKUP(C38,LookupLists!$A$3:$G$60,7,FALSE)</f>
        <v>#N/A</v>
      </c>
      <c r="S38" s="3" t="e">
        <f>VLOOKUP(D38,LookupLists!$N$4:$T$60,1,FALSE)</f>
        <v>#N/A</v>
      </c>
      <c r="T38" s="3" t="e">
        <f>VLOOKUP(D38,LookupLists!$N$4:$T$60,2,FALSE)</f>
        <v>#N/A</v>
      </c>
      <c r="U38" s="3" t="e">
        <f>VLOOKUP(D38,LookupLists!$N$4:$T$60,3,FALSE)</f>
        <v>#N/A</v>
      </c>
      <c r="V38" s="3" t="e">
        <f>VLOOKUP(D38,LookupLists!$N$4:$T$60,5,FALSE)</f>
        <v>#N/A</v>
      </c>
    </row>
    <row r="39" spans="5:22" x14ac:dyDescent="0.3">
      <c r="E39" s="3" t="str">
        <f t="shared" si="0"/>
        <v/>
      </c>
      <c r="F39" s="3" t="str">
        <f xml:space="preserve"> IF(E39="","",  IFERROR(VLOOKUP(D39,LookupLists!$N$3:$T$60,6,FALSE)-LEN(E39),0))</f>
        <v/>
      </c>
      <c r="G39" s="3" t="str">
        <f>IF(E39="","",IFERROR(matches(E39,VLOOKUP(D39,LookupLists!$N$3:$T$60,7,FALSE)),FALSE))</f>
        <v/>
      </c>
      <c r="H39" s="3" t="e">
        <f>VLOOKUP(A39,LookupLists!$I$3:$L$60,1,FALSE)</f>
        <v>#N/A</v>
      </c>
      <c r="I39" s="3" t="e">
        <f>VLOOKUP(A39,LookupLists!$I$3:$L$60,2,FALSE)</f>
        <v>#N/A</v>
      </c>
      <c r="J39" s="3" t="e">
        <f>VLOOKUP(A39,LookupLists!$I$3:$L$60,3,FALSE)</f>
        <v>#N/A</v>
      </c>
      <c r="K39" s="3" t="e">
        <f>VLOOKUP(A39,LookupLists!$I$3:$L$60,4,FALSE)</f>
        <v>#N/A</v>
      </c>
      <c r="L39" s="3" t="e">
        <f>VLOOKUP(C39,LookupLists!$A$3:$G$60,1,FALSE)</f>
        <v>#N/A</v>
      </c>
      <c r="M39" s="3" t="e">
        <f>VLOOKUP(C39,LookupLists!$A$3:$G$60,4,FALSE)</f>
        <v>#N/A</v>
      </c>
      <c r="N39" s="3" t="e">
        <f>VLOOKUP(C39,LookupLists!$A$3:$G$60,2,FALSE)</f>
        <v>#N/A</v>
      </c>
      <c r="O39" s="3" t="e">
        <f>VLOOKUP(C39,LookupLists!$A$3:$G$60,3,FALSE)</f>
        <v>#N/A</v>
      </c>
      <c r="P39" s="3" t="e">
        <f>VLOOKUP(C39,LookupLists!$A$3:$G$60,5,FALSE)</f>
        <v>#N/A</v>
      </c>
      <c r="Q39" s="3" t="e">
        <f>VLOOKUP(C39,LookupLists!$A$3:$G$60,6,FALSE)</f>
        <v>#N/A</v>
      </c>
      <c r="R39" s="4" t="e">
        <f>VLOOKUP(C39,LookupLists!$A$3:$G$60,7,FALSE)</f>
        <v>#N/A</v>
      </c>
      <c r="S39" s="3" t="e">
        <f>VLOOKUP(D39,LookupLists!$N$4:$T$60,1,FALSE)</f>
        <v>#N/A</v>
      </c>
      <c r="T39" s="3" t="e">
        <f>VLOOKUP(D39,LookupLists!$N$4:$T$60,2,FALSE)</f>
        <v>#N/A</v>
      </c>
      <c r="U39" s="3" t="e">
        <f>VLOOKUP(D39,LookupLists!$N$4:$T$60,3,FALSE)</f>
        <v>#N/A</v>
      </c>
      <c r="V39" s="3" t="e">
        <f>VLOOKUP(D39,LookupLists!$N$4:$T$60,5,FALSE)</f>
        <v>#N/A</v>
      </c>
    </row>
    <row r="40" spans="5:22" x14ac:dyDescent="0.3">
      <c r="E40" s="3" t="str">
        <f t="shared" si="0"/>
        <v/>
      </c>
      <c r="F40" s="3" t="str">
        <f xml:space="preserve"> IF(E40="","",  IFERROR(VLOOKUP(D40,LookupLists!$N$3:$T$60,6,FALSE)-LEN(E40),0))</f>
        <v/>
      </c>
      <c r="G40" s="3" t="str">
        <f>IF(E40="","",IFERROR(matches(E40,VLOOKUP(D40,LookupLists!$N$3:$T$60,7,FALSE)),FALSE))</f>
        <v/>
      </c>
      <c r="H40" s="3" t="e">
        <f>VLOOKUP(A40,LookupLists!$I$3:$L$60,1,FALSE)</f>
        <v>#N/A</v>
      </c>
      <c r="I40" s="3" t="e">
        <f>VLOOKUP(A40,LookupLists!$I$3:$L$60,2,FALSE)</f>
        <v>#N/A</v>
      </c>
      <c r="J40" s="3" t="e">
        <f>VLOOKUP(A40,LookupLists!$I$3:$L$60,3,FALSE)</f>
        <v>#N/A</v>
      </c>
      <c r="K40" s="3" t="e">
        <f>VLOOKUP(A40,LookupLists!$I$3:$L$60,4,FALSE)</f>
        <v>#N/A</v>
      </c>
      <c r="L40" s="3" t="e">
        <f>VLOOKUP(C40,LookupLists!$A$3:$G$60,1,FALSE)</f>
        <v>#N/A</v>
      </c>
      <c r="M40" s="3" t="e">
        <f>VLOOKUP(C40,LookupLists!$A$3:$G$60,4,FALSE)</f>
        <v>#N/A</v>
      </c>
      <c r="N40" s="3" t="e">
        <f>VLOOKUP(C40,LookupLists!$A$3:$G$60,2,FALSE)</f>
        <v>#N/A</v>
      </c>
      <c r="O40" s="3" t="e">
        <f>VLOOKUP(C40,LookupLists!$A$3:$G$60,3,FALSE)</f>
        <v>#N/A</v>
      </c>
      <c r="P40" s="3" t="e">
        <f>VLOOKUP(C40,LookupLists!$A$3:$G$60,5,FALSE)</f>
        <v>#N/A</v>
      </c>
      <c r="Q40" s="3" t="e">
        <f>VLOOKUP(C40,LookupLists!$A$3:$G$60,6,FALSE)</f>
        <v>#N/A</v>
      </c>
      <c r="R40" s="4" t="e">
        <f>VLOOKUP(C40,LookupLists!$A$3:$G$60,7,FALSE)</f>
        <v>#N/A</v>
      </c>
      <c r="S40" s="3" t="e">
        <f>VLOOKUP(D40,LookupLists!$N$4:$T$60,1,FALSE)</f>
        <v>#N/A</v>
      </c>
      <c r="T40" s="3" t="e">
        <f>VLOOKUP(D40,LookupLists!$N$4:$T$60,2,FALSE)</f>
        <v>#N/A</v>
      </c>
      <c r="U40" s="3" t="e">
        <f>VLOOKUP(D40,LookupLists!$N$4:$T$60,3,FALSE)</f>
        <v>#N/A</v>
      </c>
      <c r="V40" s="3" t="e">
        <f>VLOOKUP(D40,LookupLists!$N$4:$T$60,5,FALSE)</f>
        <v>#N/A</v>
      </c>
    </row>
    <row r="41" spans="5:22" x14ac:dyDescent="0.3">
      <c r="E41" s="3" t="str">
        <f t="shared" si="0"/>
        <v/>
      </c>
      <c r="F41" s="3" t="str">
        <f xml:space="preserve"> IF(E41="","",  IFERROR(VLOOKUP(D41,LookupLists!$N$3:$T$60,6,FALSE)-LEN(E41),0))</f>
        <v/>
      </c>
      <c r="G41" s="3" t="str">
        <f>IF(E41="","",IFERROR(matches(E41,VLOOKUP(D41,LookupLists!$N$3:$T$60,7,FALSE)),FALSE))</f>
        <v/>
      </c>
      <c r="H41" s="3" t="e">
        <f>VLOOKUP(A41,LookupLists!$I$3:$L$60,1,FALSE)</f>
        <v>#N/A</v>
      </c>
      <c r="I41" s="3" t="e">
        <f>VLOOKUP(A41,LookupLists!$I$3:$L$60,2,FALSE)</f>
        <v>#N/A</v>
      </c>
      <c r="J41" s="3" t="e">
        <f>VLOOKUP(A41,LookupLists!$I$3:$L$60,3,FALSE)</f>
        <v>#N/A</v>
      </c>
      <c r="K41" s="3" t="e">
        <f>VLOOKUP(A41,LookupLists!$I$3:$L$60,4,FALSE)</f>
        <v>#N/A</v>
      </c>
      <c r="L41" s="3" t="e">
        <f>VLOOKUP(C41,LookupLists!$A$3:$G$60,1,FALSE)</f>
        <v>#N/A</v>
      </c>
      <c r="M41" s="3" t="e">
        <f>VLOOKUP(C41,LookupLists!$A$3:$G$60,4,FALSE)</f>
        <v>#N/A</v>
      </c>
      <c r="N41" s="3" t="e">
        <f>VLOOKUP(C41,LookupLists!$A$3:$G$60,2,FALSE)</f>
        <v>#N/A</v>
      </c>
      <c r="O41" s="3" t="e">
        <f>VLOOKUP(C41,LookupLists!$A$3:$G$60,3,FALSE)</f>
        <v>#N/A</v>
      </c>
      <c r="P41" s="3" t="e">
        <f>VLOOKUP(C41,LookupLists!$A$3:$G$60,5,FALSE)</f>
        <v>#N/A</v>
      </c>
      <c r="Q41" s="3" t="e">
        <f>VLOOKUP(C41,LookupLists!$A$3:$G$60,6,FALSE)</f>
        <v>#N/A</v>
      </c>
      <c r="R41" s="4" t="e">
        <f>VLOOKUP(C41,LookupLists!$A$3:$G$60,7,FALSE)</f>
        <v>#N/A</v>
      </c>
      <c r="S41" s="3" t="e">
        <f>VLOOKUP(D41,LookupLists!$N$4:$T$60,1,FALSE)</f>
        <v>#N/A</v>
      </c>
      <c r="T41" s="3" t="e">
        <f>VLOOKUP(D41,LookupLists!$N$4:$T$60,2,FALSE)</f>
        <v>#N/A</v>
      </c>
      <c r="U41" s="3" t="e">
        <f>VLOOKUP(D41,LookupLists!$N$4:$T$60,3,FALSE)</f>
        <v>#N/A</v>
      </c>
      <c r="V41" s="3" t="e">
        <f>VLOOKUP(D41,LookupLists!$N$4:$T$60,5,FALSE)</f>
        <v>#N/A</v>
      </c>
    </row>
    <row r="42" spans="5:22" x14ac:dyDescent="0.3">
      <c r="E42" s="3" t="str">
        <f t="shared" si="0"/>
        <v/>
      </c>
      <c r="F42" s="3" t="str">
        <f xml:space="preserve"> IF(E42="","",  IFERROR(VLOOKUP(D42,LookupLists!$N$3:$T$60,6,FALSE)-LEN(E42),0))</f>
        <v/>
      </c>
      <c r="G42" s="3" t="str">
        <f>IF(E42="","",IFERROR(matches(E42,VLOOKUP(D42,LookupLists!$N$3:$T$60,7,FALSE)),FALSE))</f>
        <v/>
      </c>
      <c r="H42" s="3" t="e">
        <f>VLOOKUP(A42,LookupLists!$I$3:$L$60,1,FALSE)</f>
        <v>#N/A</v>
      </c>
      <c r="I42" s="3" t="e">
        <f>VLOOKUP(A42,LookupLists!$I$3:$L$60,2,FALSE)</f>
        <v>#N/A</v>
      </c>
      <c r="J42" s="3" t="e">
        <f>VLOOKUP(A42,LookupLists!$I$3:$L$60,3,FALSE)</f>
        <v>#N/A</v>
      </c>
      <c r="K42" s="3" t="e">
        <f>VLOOKUP(A42,LookupLists!$I$3:$L$60,4,FALSE)</f>
        <v>#N/A</v>
      </c>
      <c r="L42" s="3" t="e">
        <f>VLOOKUP(C42,LookupLists!$A$3:$G$60,1,FALSE)</f>
        <v>#N/A</v>
      </c>
      <c r="M42" s="3" t="e">
        <f>VLOOKUP(C42,LookupLists!$A$3:$G$60,4,FALSE)</f>
        <v>#N/A</v>
      </c>
      <c r="N42" s="3" t="e">
        <f>VLOOKUP(C42,LookupLists!$A$3:$G$60,2,FALSE)</f>
        <v>#N/A</v>
      </c>
      <c r="O42" s="3" t="e">
        <f>VLOOKUP(C42,LookupLists!$A$3:$G$60,3,FALSE)</f>
        <v>#N/A</v>
      </c>
      <c r="P42" s="3" t="e">
        <f>VLOOKUP(C42,LookupLists!$A$3:$G$60,5,FALSE)</f>
        <v>#N/A</v>
      </c>
      <c r="Q42" s="3" t="e">
        <f>VLOOKUP(C42,LookupLists!$A$3:$G$60,6,FALSE)</f>
        <v>#N/A</v>
      </c>
      <c r="R42" s="4" t="e">
        <f>VLOOKUP(C42,LookupLists!$A$3:$G$60,7,FALSE)</f>
        <v>#N/A</v>
      </c>
      <c r="S42" s="3" t="e">
        <f>VLOOKUP(D42,LookupLists!$N$4:$T$60,1,FALSE)</f>
        <v>#N/A</v>
      </c>
      <c r="T42" s="3" t="e">
        <f>VLOOKUP(D42,LookupLists!$N$4:$T$60,2,FALSE)</f>
        <v>#N/A</v>
      </c>
      <c r="U42" s="3" t="e">
        <f>VLOOKUP(D42,LookupLists!$N$4:$T$60,3,FALSE)</f>
        <v>#N/A</v>
      </c>
      <c r="V42" s="3" t="e">
        <f>VLOOKUP(D42,LookupLists!$N$4:$T$60,5,FALSE)</f>
        <v>#N/A</v>
      </c>
    </row>
    <row r="43" spans="5:22" x14ac:dyDescent="0.3">
      <c r="E43" s="3" t="str">
        <f t="shared" si="0"/>
        <v/>
      </c>
      <c r="F43" s="3" t="str">
        <f xml:space="preserve"> IF(E43="","",  IFERROR(VLOOKUP(D43,LookupLists!$N$3:$T$60,6,FALSE)-LEN(E43),0))</f>
        <v/>
      </c>
      <c r="G43" s="3" t="str">
        <f>IF(E43="","",IFERROR(matches(E43,VLOOKUP(D43,LookupLists!$N$3:$T$60,7,FALSE)),FALSE))</f>
        <v/>
      </c>
      <c r="H43" s="3" t="e">
        <f>VLOOKUP(A43,LookupLists!$I$3:$L$60,1,FALSE)</f>
        <v>#N/A</v>
      </c>
      <c r="I43" s="3" t="e">
        <f>VLOOKUP(A43,LookupLists!$I$3:$L$60,2,FALSE)</f>
        <v>#N/A</v>
      </c>
      <c r="J43" s="3" t="e">
        <f>VLOOKUP(A43,LookupLists!$I$3:$L$60,3,FALSE)</f>
        <v>#N/A</v>
      </c>
      <c r="K43" s="3" t="e">
        <f>VLOOKUP(A43,LookupLists!$I$3:$L$60,4,FALSE)</f>
        <v>#N/A</v>
      </c>
      <c r="L43" s="3" t="e">
        <f>VLOOKUP(C43,LookupLists!$A$3:$G$60,1,FALSE)</f>
        <v>#N/A</v>
      </c>
      <c r="M43" s="3" t="e">
        <f>VLOOKUP(C43,LookupLists!$A$3:$G$60,4,FALSE)</f>
        <v>#N/A</v>
      </c>
      <c r="N43" s="3" t="e">
        <f>VLOOKUP(C43,LookupLists!$A$3:$G$60,2,FALSE)</f>
        <v>#N/A</v>
      </c>
      <c r="O43" s="3" t="e">
        <f>VLOOKUP(C43,LookupLists!$A$3:$G$60,3,FALSE)</f>
        <v>#N/A</v>
      </c>
      <c r="P43" s="3" t="e">
        <f>VLOOKUP(C43,LookupLists!$A$3:$G$60,5,FALSE)</f>
        <v>#N/A</v>
      </c>
      <c r="Q43" s="3" t="e">
        <f>VLOOKUP(C43,LookupLists!$A$3:$G$60,6,FALSE)</f>
        <v>#N/A</v>
      </c>
      <c r="R43" s="4" t="e">
        <f>VLOOKUP(C43,LookupLists!$A$3:$G$60,7,FALSE)</f>
        <v>#N/A</v>
      </c>
      <c r="S43" s="3" t="e">
        <f>VLOOKUP(D43,LookupLists!$N$4:$T$60,1,FALSE)</f>
        <v>#N/A</v>
      </c>
      <c r="T43" s="3" t="e">
        <f>VLOOKUP(D43,LookupLists!$N$4:$T$60,2,FALSE)</f>
        <v>#N/A</v>
      </c>
      <c r="U43" s="3" t="e">
        <f>VLOOKUP(D43,LookupLists!$N$4:$T$60,3,FALSE)</f>
        <v>#N/A</v>
      </c>
      <c r="V43" s="3" t="e">
        <f>VLOOKUP(D43,LookupLists!$N$4:$T$60,5,FALSE)</f>
        <v>#N/A</v>
      </c>
    </row>
    <row r="44" spans="5:22" x14ac:dyDescent="0.3">
      <c r="E44" s="3" t="str">
        <f t="shared" si="0"/>
        <v/>
      </c>
      <c r="F44" s="3" t="str">
        <f xml:space="preserve"> IF(E44="","",  IFERROR(VLOOKUP(D44,LookupLists!$N$3:$T$60,6,FALSE)-LEN(E44),0))</f>
        <v/>
      </c>
      <c r="G44" s="3" t="str">
        <f>IF(E44="","",IFERROR(matches(E44,VLOOKUP(D44,LookupLists!$N$3:$T$60,7,FALSE)),FALSE))</f>
        <v/>
      </c>
      <c r="H44" s="3" t="e">
        <f>VLOOKUP(A44,LookupLists!$I$3:$L$60,1,FALSE)</f>
        <v>#N/A</v>
      </c>
      <c r="I44" s="3" t="e">
        <f>VLOOKUP(A44,LookupLists!$I$3:$L$60,2,FALSE)</f>
        <v>#N/A</v>
      </c>
      <c r="J44" s="3" t="e">
        <f>VLOOKUP(A44,LookupLists!$I$3:$L$60,3,FALSE)</f>
        <v>#N/A</v>
      </c>
      <c r="K44" s="3" t="e">
        <f>VLOOKUP(A44,LookupLists!$I$3:$L$60,4,FALSE)</f>
        <v>#N/A</v>
      </c>
      <c r="L44" s="3" t="e">
        <f>VLOOKUP(C44,LookupLists!$A$3:$G$60,1,FALSE)</f>
        <v>#N/A</v>
      </c>
      <c r="M44" s="3" t="e">
        <f>VLOOKUP(C44,LookupLists!$A$3:$G$60,4,FALSE)</f>
        <v>#N/A</v>
      </c>
      <c r="N44" s="3" t="e">
        <f>VLOOKUP(C44,LookupLists!$A$3:$G$60,2,FALSE)</f>
        <v>#N/A</v>
      </c>
      <c r="O44" s="3" t="e">
        <f>VLOOKUP(C44,LookupLists!$A$3:$G$60,3,FALSE)</f>
        <v>#N/A</v>
      </c>
      <c r="P44" s="3" t="e">
        <f>VLOOKUP(C44,LookupLists!$A$3:$G$60,5,FALSE)</f>
        <v>#N/A</v>
      </c>
      <c r="Q44" s="3" t="e">
        <f>VLOOKUP(C44,LookupLists!$A$3:$G$60,6,FALSE)</f>
        <v>#N/A</v>
      </c>
      <c r="R44" s="4" t="e">
        <f>VLOOKUP(C44,LookupLists!$A$3:$G$60,7,FALSE)</f>
        <v>#N/A</v>
      </c>
      <c r="S44" s="3" t="e">
        <f>VLOOKUP(D44,LookupLists!$N$4:$T$60,1,FALSE)</f>
        <v>#N/A</v>
      </c>
      <c r="T44" s="3" t="e">
        <f>VLOOKUP(D44,LookupLists!$N$4:$T$60,2,FALSE)</f>
        <v>#N/A</v>
      </c>
      <c r="U44" s="3" t="e">
        <f>VLOOKUP(D44,LookupLists!$N$4:$T$60,3,FALSE)</f>
        <v>#N/A</v>
      </c>
      <c r="V44" s="3" t="e">
        <f>VLOOKUP(D44,LookupLists!$N$4:$T$60,5,FALSE)</f>
        <v>#N/A</v>
      </c>
    </row>
    <row r="45" spans="5:22" x14ac:dyDescent="0.3">
      <c r="E45" s="3" t="str">
        <f t="shared" si="0"/>
        <v/>
      </c>
      <c r="F45" s="3" t="str">
        <f xml:space="preserve"> IF(E45="","",  IFERROR(VLOOKUP(D45,LookupLists!$N$3:$T$60,6,FALSE)-LEN(E45),0))</f>
        <v/>
      </c>
      <c r="G45" s="3" t="str">
        <f>IF(E45="","",IFERROR(matches(E45,VLOOKUP(D45,LookupLists!$N$3:$T$60,7,FALSE)),FALSE))</f>
        <v/>
      </c>
      <c r="H45" s="3" t="e">
        <f>VLOOKUP(A45,LookupLists!$I$3:$L$60,1,FALSE)</f>
        <v>#N/A</v>
      </c>
      <c r="I45" s="3" t="e">
        <f>VLOOKUP(A45,LookupLists!$I$3:$L$60,2,FALSE)</f>
        <v>#N/A</v>
      </c>
      <c r="J45" s="3" t="e">
        <f>VLOOKUP(A45,LookupLists!$I$3:$L$60,3,FALSE)</f>
        <v>#N/A</v>
      </c>
      <c r="K45" s="3" t="e">
        <f>VLOOKUP(A45,LookupLists!$I$3:$L$60,4,FALSE)</f>
        <v>#N/A</v>
      </c>
      <c r="L45" s="3" t="e">
        <f>VLOOKUP(C45,LookupLists!$A$3:$G$60,1,FALSE)</f>
        <v>#N/A</v>
      </c>
      <c r="M45" s="3" t="e">
        <f>VLOOKUP(C45,LookupLists!$A$3:$G$60,4,FALSE)</f>
        <v>#N/A</v>
      </c>
      <c r="N45" s="3" t="e">
        <f>VLOOKUP(C45,LookupLists!$A$3:$G$60,2,FALSE)</f>
        <v>#N/A</v>
      </c>
      <c r="O45" s="3" t="e">
        <f>VLOOKUP(C45,LookupLists!$A$3:$G$60,3,FALSE)</f>
        <v>#N/A</v>
      </c>
      <c r="P45" s="3" t="e">
        <f>VLOOKUP(C45,LookupLists!$A$3:$G$60,5,FALSE)</f>
        <v>#N/A</v>
      </c>
      <c r="Q45" s="3" t="e">
        <f>VLOOKUP(C45,LookupLists!$A$3:$G$60,6,FALSE)</f>
        <v>#N/A</v>
      </c>
      <c r="R45" s="4" t="e">
        <f>VLOOKUP(C45,LookupLists!$A$3:$G$60,7,FALSE)</f>
        <v>#N/A</v>
      </c>
      <c r="S45" s="3" t="e">
        <f>VLOOKUP(D45,LookupLists!$N$4:$T$60,1,FALSE)</f>
        <v>#N/A</v>
      </c>
      <c r="T45" s="3" t="e">
        <f>VLOOKUP(D45,LookupLists!$N$4:$T$60,2,FALSE)</f>
        <v>#N/A</v>
      </c>
      <c r="U45" s="3" t="e">
        <f>VLOOKUP(D45,LookupLists!$N$4:$T$60,3,FALSE)</f>
        <v>#N/A</v>
      </c>
      <c r="V45" s="3" t="e">
        <f>VLOOKUP(D45,LookupLists!$N$4:$T$60,5,FALSE)</f>
        <v>#N/A</v>
      </c>
    </row>
    <row r="46" spans="5:22" x14ac:dyDescent="0.3">
      <c r="E46" s="3" t="str">
        <f t="shared" si="0"/>
        <v/>
      </c>
      <c r="F46" s="3" t="str">
        <f xml:space="preserve"> IF(E46="","",  IFERROR(VLOOKUP(D46,LookupLists!$N$3:$T$60,6,FALSE)-LEN(E46),0))</f>
        <v/>
      </c>
      <c r="G46" s="3" t="str">
        <f>IF(E46="","",IFERROR(matches(E46,VLOOKUP(D46,LookupLists!$N$3:$T$60,7,FALSE)),FALSE))</f>
        <v/>
      </c>
      <c r="H46" s="3" t="e">
        <f>VLOOKUP(A46,LookupLists!$I$3:$L$60,1,FALSE)</f>
        <v>#N/A</v>
      </c>
      <c r="I46" s="3" t="e">
        <f>VLOOKUP(A46,LookupLists!$I$3:$L$60,2,FALSE)</f>
        <v>#N/A</v>
      </c>
      <c r="J46" s="3" t="e">
        <f>VLOOKUP(A46,LookupLists!$I$3:$L$60,3,FALSE)</f>
        <v>#N/A</v>
      </c>
      <c r="K46" s="3" t="e">
        <f>VLOOKUP(A46,LookupLists!$I$3:$L$60,4,FALSE)</f>
        <v>#N/A</v>
      </c>
      <c r="L46" s="3" t="e">
        <f>VLOOKUP(C46,LookupLists!$A$3:$G$60,1,FALSE)</f>
        <v>#N/A</v>
      </c>
      <c r="M46" s="3" t="e">
        <f>VLOOKUP(C46,LookupLists!$A$3:$G$60,4,FALSE)</f>
        <v>#N/A</v>
      </c>
      <c r="N46" s="3" t="e">
        <f>VLOOKUP(C46,LookupLists!$A$3:$G$60,2,FALSE)</f>
        <v>#N/A</v>
      </c>
      <c r="O46" s="3" t="e">
        <f>VLOOKUP(C46,LookupLists!$A$3:$G$60,3,FALSE)</f>
        <v>#N/A</v>
      </c>
      <c r="P46" s="3" t="e">
        <f>VLOOKUP(C46,LookupLists!$A$3:$G$60,5,FALSE)</f>
        <v>#N/A</v>
      </c>
      <c r="Q46" s="3" t="e">
        <f>VLOOKUP(C46,LookupLists!$A$3:$G$60,6,FALSE)</f>
        <v>#N/A</v>
      </c>
      <c r="R46" s="4" t="e">
        <f>VLOOKUP(C46,LookupLists!$A$3:$G$60,7,FALSE)</f>
        <v>#N/A</v>
      </c>
      <c r="S46" s="3" t="e">
        <f>VLOOKUP(D46,LookupLists!$N$4:$T$60,1,FALSE)</f>
        <v>#N/A</v>
      </c>
      <c r="T46" s="3" t="e">
        <f>VLOOKUP(D46,LookupLists!$N$4:$T$60,2,FALSE)</f>
        <v>#N/A</v>
      </c>
      <c r="U46" s="3" t="e">
        <f>VLOOKUP(D46,LookupLists!$N$4:$T$60,3,FALSE)</f>
        <v>#N/A</v>
      </c>
      <c r="V46" s="3" t="e">
        <f>VLOOKUP(D46,LookupLists!$N$4:$T$60,5,FALSE)</f>
        <v>#N/A</v>
      </c>
    </row>
    <row r="47" spans="5:22" x14ac:dyDescent="0.3">
      <c r="E47" s="3" t="str">
        <f t="shared" si="0"/>
        <v/>
      </c>
      <c r="F47" s="3" t="str">
        <f xml:space="preserve"> IF(E47="","",  IFERROR(VLOOKUP(D47,LookupLists!$N$3:$T$60,6,FALSE)-LEN(E47),0))</f>
        <v/>
      </c>
      <c r="G47" s="3" t="str">
        <f>IF(E47="","",IFERROR(matches(E47,VLOOKUP(D47,LookupLists!$N$3:$T$60,7,FALSE)),FALSE))</f>
        <v/>
      </c>
      <c r="H47" s="3" t="e">
        <f>VLOOKUP(A47,LookupLists!$I$3:$L$60,1,FALSE)</f>
        <v>#N/A</v>
      </c>
      <c r="I47" s="3" t="e">
        <f>VLOOKUP(A47,LookupLists!$I$3:$L$60,2,FALSE)</f>
        <v>#N/A</v>
      </c>
      <c r="J47" s="3" t="e">
        <f>VLOOKUP(A47,LookupLists!$I$3:$L$60,3,FALSE)</f>
        <v>#N/A</v>
      </c>
      <c r="K47" s="3" t="e">
        <f>VLOOKUP(A47,LookupLists!$I$3:$L$60,4,FALSE)</f>
        <v>#N/A</v>
      </c>
      <c r="L47" s="3" t="e">
        <f>VLOOKUP(C47,LookupLists!$A$3:$G$60,1,FALSE)</f>
        <v>#N/A</v>
      </c>
      <c r="M47" s="3" t="e">
        <f>VLOOKUP(C47,LookupLists!$A$3:$G$60,4,FALSE)</f>
        <v>#N/A</v>
      </c>
      <c r="N47" s="3" t="e">
        <f>VLOOKUP(C47,LookupLists!$A$3:$G$60,2,FALSE)</f>
        <v>#N/A</v>
      </c>
      <c r="O47" s="3" t="e">
        <f>VLOOKUP(C47,LookupLists!$A$3:$G$60,3,FALSE)</f>
        <v>#N/A</v>
      </c>
      <c r="P47" s="3" t="e">
        <f>VLOOKUP(C47,LookupLists!$A$3:$G$60,5,FALSE)</f>
        <v>#N/A</v>
      </c>
      <c r="Q47" s="3" t="e">
        <f>VLOOKUP(C47,LookupLists!$A$3:$G$60,6,FALSE)</f>
        <v>#N/A</v>
      </c>
      <c r="R47" s="4" t="e">
        <f>VLOOKUP(C47,LookupLists!$A$3:$G$60,7,FALSE)</f>
        <v>#N/A</v>
      </c>
      <c r="S47" s="3" t="e">
        <f>VLOOKUP(D47,LookupLists!$N$4:$T$60,1,FALSE)</f>
        <v>#N/A</v>
      </c>
      <c r="T47" s="3" t="e">
        <f>VLOOKUP(D47,LookupLists!$N$4:$T$60,2,FALSE)</f>
        <v>#N/A</v>
      </c>
      <c r="U47" s="3" t="e">
        <f>VLOOKUP(D47,LookupLists!$N$4:$T$60,3,FALSE)</f>
        <v>#N/A</v>
      </c>
      <c r="V47" s="3" t="e">
        <f>VLOOKUP(D47,LookupLists!$N$4:$T$60,5,FALSE)</f>
        <v>#N/A</v>
      </c>
    </row>
    <row r="48" spans="5:22" x14ac:dyDescent="0.3">
      <c r="E48" s="3" t="str">
        <f t="shared" si="0"/>
        <v/>
      </c>
      <c r="F48" s="3" t="str">
        <f xml:space="preserve"> IF(E48="","",  IFERROR(VLOOKUP(D48,LookupLists!$N$3:$T$60,6,FALSE)-LEN(E48),0))</f>
        <v/>
      </c>
      <c r="G48" s="3" t="str">
        <f>IF(E48="","",IFERROR(matches(E48,VLOOKUP(D48,LookupLists!$N$3:$T$60,7,FALSE)),FALSE))</f>
        <v/>
      </c>
      <c r="H48" s="3" t="e">
        <f>VLOOKUP(A48,LookupLists!$I$3:$L$60,1,FALSE)</f>
        <v>#N/A</v>
      </c>
      <c r="I48" s="3" t="e">
        <f>VLOOKUP(A48,LookupLists!$I$3:$L$60,2,FALSE)</f>
        <v>#N/A</v>
      </c>
      <c r="J48" s="3" t="e">
        <f>VLOOKUP(A48,LookupLists!$I$3:$L$60,3,FALSE)</f>
        <v>#N/A</v>
      </c>
      <c r="K48" s="3" t="e">
        <f>VLOOKUP(A48,LookupLists!$I$3:$L$60,4,FALSE)</f>
        <v>#N/A</v>
      </c>
      <c r="L48" s="3" t="e">
        <f>VLOOKUP(C48,LookupLists!$A$3:$G$60,1,FALSE)</f>
        <v>#N/A</v>
      </c>
      <c r="M48" s="3" t="e">
        <f>VLOOKUP(C48,LookupLists!$A$3:$G$60,4,FALSE)</f>
        <v>#N/A</v>
      </c>
      <c r="N48" s="3" t="e">
        <f>VLOOKUP(C48,LookupLists!$A$3:$G$60,2,FALSE)</f>
        <v>#N/A</v>
      </c>
      <c r="O48" s="3" t="e">
        <f>VLOOKUP(C48,LookupLists!$A$3:$G$60,3,FALSE)</f>
        <v>#N/A</v>
      </c>
      <c r="P48" s="3" t="e">
        <f>VLOOKUP(C48,LookupLists!$A$3:$G$60,5,FALSE)</f>
        <v>#N/A</v>
      </c>
      <c r="Q48" s="3" t="e">
        <f>VLOOKUP(C48,LookupLists!$A$3:$G$60,6,FALSE)</f>
        <v>#N/A</v>
      </c>
      <c r="R48" s="4" t="e">
        <f>VLOOKUP(C48,LookupLists!$A$3:$G$60,7,FALSE)</f>
        <v>#N/A</v>
      </c>
      <c r="S48" s="3" t="e">
        <f>VLOOKUP(D48,LookupLists!$N$4:$T$60,1,FALSE)</f>
        <v>#N/A</v>
      </c>
      <c r="T48" s="3" t="e">
        <f>VLOOKUP(D48,LookupLists!$N$4:$T$60,2,FALSE)</f>
        <v>#N/A</v>
      </c>
      <c r="U48" s="3" t="e">
        <f>VLOOKUP(D48,LookupLists!$N$4:$T$60,3,FALSE)</f>
        <v>#N/A</v>
      </c>
      <c r="V48" s="3" t="e">
        <f>VLOOKUP(D48,LookupLists!$N$4:$T$60,5,FALSE)</f>
        <v>#N/A</v>
      </c>
    </row>
    <row r="49" spans="5:22" x14ac:dyDescent="0.3">
      <c r="E49" s="3" t="str">
        <f t="shared" si="0"/>
        <v/>
      </c>
      <c r="F49" s="3" t="str">
        <f xml:space="preserve"> IF(E49="","",  IFERROR(VLOOKUP(D49,LookupLists!$N$3:$T$60,6,FALSE)-LEN(E49),0))</f>
        <v/>
      </c>
      <c r="G49" s="3" t="str">
        <f>IF(E49="","",IFERROR(matches(E49,VLOOKUP(D49,LookupLists!$N$3:$T$60,7,FALSE)),FALSE))</f>
        <v/>
      </c>
      <c r="H49" s="3" t="e">
        <f>VLOOKUP(A49,LookupLists!$I$3:$L$60,1,FALSE)</f>
        <v>#N/A</v>
      </c>
      <c r="I49" s="3" t="e">
        <f>VLOOKUP(A49,LookupLists!$I$3:$L$60,2,FALSE)</f>
        <v>#N/A</v>
      </c>
      <c r="J49" s="3" t="e">
        <f>VLOOKUP(A49,LookupLists!$I$3:$L$60,3,FALSE)</f>
        <v>#N/A</v>
      </c>
      <c r="K49" s="3" t="e">
        <f>VLOOKUP(A49,LookupLists!$I$3:$L$60,4,FALSE)</f>
        <v>#N/A</v>
      </c>
      <c r="L49" s="3" t="e">
        <f>VLOOKUP(C49,LookupLists!$A$3:$G$60,1,FALSE)</f>
        <v>#N/A</v>
      </c>
      <c r="M49" s="3" t="e">
        <f>VLOOKUP(C49,LookupLists!$A$3:$G$60,4,FALSE)</f>
        <v>#N/A</v>
      </c>
      <c r="N49" s="3" t="e">
        <f>VLOOKUP(C49,LookupLists!$A$3:$G$60,2,FALSE)</f>
        <v>#N/A</v>
      </c>
      <c r="O49" s="3" t="e">
        <f>VLOOKUP(C49,LookupLists!$A$3:$G$60,3,FALSE)</f>
        <v>#N/A</v>
      </c>
      <c r="P49" s="3" t="e">
        <f>VLOOKUP(C49,LookupLists!$A$3:$G$60,5,FALSE)</f>
        <v>#N/A</v>
      </c>
      <c r="Q49" s="3" t="e">
        <f>VLOOKUP(C49,LookupLists!$A$3:$G$60,6,FALSE)</f>
        <v>#N/A</v>
      </c>
      <c r="R49" s="4" t="e">
        <f>VLOOKUP(C49,LookupLists!$A$3:$G$60,7,FALSE)</f>
        <v>#N/A</v>
      </c>
      <c r="S49" s="3" t="e">
        <f>VLOOKUP(D49,LookupLists!$N$4:$T$60,1,FALSE)</f>
        <v>#N/A</v>
      </c>
      <c r="T49" s="3" t="e">
        <f>VLOOKUP(D49,LookupLists!$N$4:$T$60,2,FALSE)</f>
        <v>#N/A</v>
      </c>
      <c r="U49" s="3" t="e">
        <f>VLOOKUP(D49,LookupLists!$N$4:$T$60,3,FALSE)</f>
        <v>#N/A</v>
      </c>
      <c r="V49" s="3" t="e">
        <f>VLOOKUP(D49,LookupLists!$N$4:$T$60,5,FALSE)</f>
        <v>#N/A</v>
      </c>
    </row>
    <row r="50" spans="5:22" x14ac:dyDescent="0.3">
      <c r="E50" s="3" t="str">
        <f t="shared" si="0"/>
        <v/>
      </c>
      <c r="F50" s="3" t="str">
        <f xml:space="preserve"> IF(E50="","",  IFERROR(VLOOKUP(D50,LookupLists!$N$3:$T$60,6,FALSE)-LEN(E50),0))</f>
        <v/>
      </c>
      <c r="G50" s="3" t="str">
        <f>IF(E50="","",IFERROR(matches(E50,VLOOKUP(D50,LookupLists!$N$3:$T$60,7,FALSE)),FALSE))</f>
        <v/>
      </c>
      <c r="H50" s="3" t="e">
        <f>VLOOKUP(A50,LookupLists!$I$3:$L$60,1,FALSE)</f>
        <v>#N/A</v>
      </c>
      <c r="I50" s="3" t="e">
        <f>VLOOKUP(A50,LookupLists!$I$3:$L$60,2,FALSE)</f>
        <v>#N/A</v>
      </c>
      <c r="J50" s="3" t="e">
        <f>VLOOKUP(A50,LookupLists!$I$3:$L$60,3,FALSE)</f>
        <v>#N/A</v>
      </c>
      <c r="K50" s="3" t="e">
        <f>VLOOKUP(A50,LookupLists!$I$3:$L$60,4,FALSE)</f>
        <v>#N/A</v>
      </c>
      <c r="L50" s="3" t="e">
        <f>VLOOKUP(C50,LookupLists!$A$3:$G$60,1,FALSE)</f>
        <v>#N/A</v>
      </c>
      <c r="M50" s="3" t="e">
        <f>VLOOKUP(C50,LookupLists!$A$3:$G$60,4,FALSE)</f>
        <v>#N/A</v>
      </c>
      <c r="N50" s="3" t="e">
        <f>VLOOKUP(C50,LookupLists!$A$3:$G$60,2,FALSE)</f>
        <v>#N/A</v>
      </c>
      <c r="O50" s="3" t="e">
        <f>VLOOKUP(C50,LookupLists!$A$3:$G$60,3,FALSE)</f>
        <v>#N/A</v>
      </c>
      <c r="P50" s="3" t="e">
        <f>VLOOKUP(C50,LookupLists!$A$3:$G$60,5,FALSE)</f>
        <v>#N/A</v>
      </c>
      <c r="Q50" s="3" t="e">
        <f>VLOOKUP(C50,LookupLists!$A$3:$G$60,6,FALSE)</f>
        <v>#N/A</v>
      </c>
      <c r="R50" s="4" t="e">
        <f>VLOOKUP(C50,LookupLists!$A$3:$G$60,7,FALSE)</f>
        <v>#N/A</v>
      </c>
      <c r="S50" s="3" t="e">
        <f>VLOOKUP(D50,LookupLists!$N$4:$T$60,1,FALSE)</f>
        <v>#N/A</v>
      </c>
      <c r="T50" s="3" t="e">
        <f>VLOOKUP(D50,LookupLists!$N$4:$T$60,2,FALSE)</f>
        <v>#N/A</v>
      </c>
      <c r="U50" s="3" t="e">
        <f>VLOOKUP(D50,LookupLists!$N$4:$T$60,3,FALSE)</f>
        <v>#N/A</v>
      </c>
      <c r="V50" s="3" t="e">
        <f>VLOOKUP(D50,LookupLists!$N$4:$T$60,5,FALSE)</f>
        <v>#N/A</v>
      </c>
    </row>
    <row r="51" spans="5:22" x14ac:dyDescent="0.3">
      <c r="E51" s="3" t="str">
        <f t="shared" si="0"/>
        <v/>
      </c>
      <c r="F51" s="3" t="str">
        <f xml:space="preserve"> IF(E51="","",  IFERROR(VLOOKUP(D51,LookupLists!$N$3:$T$60,6,FALSE)-LEN(E51),0))</f>
        <v/>
      </c>
      <c r="G51" s="3" t="str">
        <f>IF(E51="","",IFERROR(matches(E51,VLOOKUP(D51,LookupLists!$N$3:$T$60,7,FALSE)),FALSE))</f>
        <v/>
      </c>
      <c r="H51" s="3" t="e">
        <f>VLOOKUP(A51,LookupLists!$I$3:$L$60,1,FALSE)</f>
        <v>#N/A</v>
      </c>
      <c r="I51" s="3" t="e">
        <f>VLOOKUP(A51,LookupLists!$I$3:$L$60,2,FALSE)</f>
        <v>#N/A</v>
      </c>
      <c r="J51" s="3" t="e">
        <f>VLOOKUP(A51,LookupLists!$I$3:$L$60,3,FALSE)</f>
        <v>#N/A</v>
      </c>
      <c r="K51" s="3" t="e">
        <f>VLOOKUP(A51,LookupLists!$I$3:$L$60,4,FALSE)</f>
        <v>#N/A</v>
      </c>
      <c r="L51" s="3" t="e">
        <f>VLOOKUP(C51,LookupLists!$A$3:$G$60,1,FALSE)</f>
        <v>#N/A</v>
      </c>
      <c r="M51" s="3" t="e">
        <f>VLOOKUP(C51,LookupLists!$A$3:$G$60,4,FALSE)</f>
        <v>#N/A</v>
      </c>
      <c r="N51" s="3" t="e">
        <f>VLOOKUP(C51,LookupLists!$A$3:$G$60,2,FALSE)</f>
        <v>#N/A</v>
      </c>
      <c r="O51" s="3" t="e">
        <f>VLOOKUP(C51,LookupLists!$A$3:$G$60,3,FALSE)</f>
        <v>#N/A</v>
      </c>
      <c r="P51" s="3" t="e">
        <f>VLOOKUP(C51,LookupLists!$A$3:$G$60,5,FALSE)</f>
        <v>#N/A</v>
      </c>
      <c r="Q51" s="3" t="e">
        <f>VLOOKUP(C51,LookupLists!$A$3:$G$60,6,FALSE)</f>
        <v>#N/A</v>
      </c>
      <c r="R51" s="4" t="e">
        <f>VLOOKUP(C51,LookupLists!$A$3:$G$60,7,FALSE)</f>
        <v>#N/A</v>
      </c>
      <c r="S51" s="3" t="e">
        <f>VLOOKUP(D51,LookupLists!$N$4:$T$60,1,FALSE)</f>
        <v>#N/A</v>
      </c>
      <c r="T51" s="3" t="e">
        <f>VLOOKUP(D51,LookupLists!$N$4:$T$60,2,FALSE)</f>
        <v>#N/A</v>
      </c>
      <c r="U51" s="3" t="e">
        <f>VLOOKUP(D51,LookupLists!$N$4:$T$60,3,FALSE)</f>
        <v>#N/A</v>
      </c>
      <c r="V51" s="3" t="e">
        <f>VLOOKUP(D51,LookupLists!$N$4:$T$60,5,FALSE)</f>
        <v>#N/A</v>
      </c>
    </row>
    <row r="52" spans="5:22" x14ac:dyDescent="0.3">
      <c r="E52" s="3" t="str">
        <f t="shared" si="0"/>
        <v/>
      </c>
      <c r="F52" s="3" t="str">
        <f xml:space="preserve"> IF(E52="","",  IFERROR(VLOOKUP(D52,LookupLists!$N$3:$T$60,6,FALSE)-LEN(E52),0))</f>
        <v/>
      </c>
      <c r="G52" s="3" t="str">
        <f>IF(E52="","",IFERROR(matches(E52,VLOOKUP(D52,LookupLists!$N$3:$T$60,7,FALSE)),FALSE))</f>
        <v/>
      </c>
      <c r="H52" s="3" t="e">
        <f>VLOOKUP(A52,LookupLists!$I$3:$L$60,1,FALSE)</f>
        <v>#N/A</v>
      </c>
      <c r="I52" s="3" t="e">
        <f>VLOOKUP(A52,LookupLists!$I$3:$L$60,2,FALSE)</f>
        <v>#N/A</v>
      </c>
      <c r="J52" s="3" t="e">
        <f>VLOOKUP(A52,LookupLists!$I$3:$L$60,3,FALSE)</f>
        <v>#N/A</v>
      </c>
      <c r="K52" s="3" t="e">
        <f>VLOOKUP(A52,LookupLists!$I$3:$L$60,4,FALSE)</f>
        <v>#N/A</v>
      </c>
      <c r="L52" s="3" t="e">
        <f>VLOOKUP(C52,LookupLists!$A$3:$G$60,1,FALSE)</f>
        <v>#N/A</v>
      </c>
      <c r="M52" s="3" t="e">
        <f>VLOOKUP(C52,LookupLists!$A$3:$G$60,4,FALSE)</f>
        <v>#N/A</v>
      </c>
      <c r="N52" s="3" t="e">
        <f>VLOOKUP(C52,LookupLists!$A$3:$G$60,2,FALSE)</f>
        <v>#N/A</v>
      </c>
      <c r="O52" s="3" t="e">
        <f>VLOOKUP(C52,LookupLists!$A$3:$G$60,3,FALSE)</f>
        <v>#N/A</v>
      </c>
      <c r="P52" s="3" t="e">
        <f>VLOOKUP(C52,LookupLists!$A$3:$G$60,5,FALSE)</f>
        <v>#N/A</v>
      </c>
      <c r="Q52" s="3" t="e">
        <f>VLOOKUP(C52,LookupLists!$A$3:$G$60,6,FALSE)</f>
        <v>#N/A</v>
      </c>
      <c r="R52" s="4" t="e">
        <f>VLOOKUP(C52,LookupLists!$A$3:$G$60,7,FALSE)</f>
        <v>#N/A</v>
      </c>
      <c r="S52" s="3" t="e">
        <f>VLOOKUP(D52,LookupLists!$N$4:$T$60,1,FALSE)</f>
        <v>#N/A</v>
      </c>
      <c r="T52" s="3" t="e">
        <f>VLOOKUP(D52,LookupLists!$N$4:$T$60,2,FALSE)</f>
        <v>#N/A</v>
      </c>
      <c r="U52" s="3" t="e">
        <f>VLOOKUP(D52,LookupLists!$N$4:$T$60,3,FALSE)</f>
        <v>#N/A</v>
      </c>
      <c r="V52" s="3" t="e">
        <f>VLOOKUP(D52,LookupLists!$N$4:$T$60,5,FALSE)</f>
        <v>#N/A</v>
      </c>
    </row>
    <row r="53" spans="5:22" x14ac:dyDescent="0.3">
      <c r="E53" s="3" t="str">
        <f t="shared" si="0"/>
        <v/>
      </c>
      <c r="F53" s="3" t="str">
        <f xml:space="preserve"> IF(E53="","",  IFERROR(VLOOKUP(D53,LookupLists!$N$3:$T$60,6,FALSE)-LEN(E53),0))</f>
        <v/>
      </c>
      <c r="G53" s="3" t="str">
        <f>IF(E53="","",IFERROR(matches(E53,VLOOKUP(D53,LookupLists!$N$3:$T$60,7,FALSE)),FALSE))</f>
        <v/>
      </c>
      <c r="H53" s="3" t="e">
        <f>VLOOKUP(A53,LookupLists!$I$3:$L$60,1,FALSE)</f>
        <v>#N/A</v>
      </c>
      <c r="I53" s="3" t="e">
        <f>VLOOKUP(A53,LookupLists!$I$3:$L$60,2,FALSE)</f>
        <v>#N/A</v>
      </c>
      <c r="J53" s="3" t="e">
        <f>VLOOKUP(A53,LookupLists!$I$3:$L$60,3,FALSE)</f>
        <v>#N/A</v>
      </c>
      <c r="K53" s="3" t="e">
        <f>VLOOKUP(A53,LookupLists!$I$3:$L$60,4,FALSE)</f>
        <v>#N/A</v>
      </c>
      <c r="L53" s="3" t="e">
        <f>VLOOKUP(C53,LookupLists!$A$3:$G$60,1,FALSE)</f>
        <v>#N/A</v>
      </c>
      <c r="M53" s="3" t="e">
        <f>VLOOKUP(C53,LookupLists!$A$3:$G$60,4,FALSE)</f>
        <v>#N/A</v>
      </c>
      <c r="N53" s="3" t="e">
        <f>VLOOKUP(C53,LookupLists!$A$3:$G$60,2,FALSE)</f>
        <v>#N/A</v>
      </c>
      <c r="O53" s="3" t="e">
        <f>VLOOKUP(C53,LookupLists!$A$3:$G$60,3,FALSE)</f>
        <v>#N/A</v>
      </c>
      <c r="P53" s="3" t="e">
        <f>VLOOKUP(C53,LookupLists!$A$3:$G$60,5,FALSE)</f>
        <v>#N/A</v>
      </c>
      <c r="Q53" s="3" t="e">
        <f>VLOOKUP(C53,LookupLists!$A$3:$G$60,6,FALSE)</f>
        <v>#N/A</v>
      </c>
      <c r="R53" s="4" t="e">
        <f>VLOOKUP(C53,LookupLists!$A$3:$G$60,7,FALSE)</f>
        <v>#N/A</v>
      </c>
      <c r="S53" s="3" t="e">
        <f>VLOOKUP(D53,LookupLists!$N$4:$T$60,1,FALSE)</f>
        <v>#N/A</v>
      </c>
      <c r="T53" s="3" t="e">
        <f>VLOOKUP(D53,LookupLists!$N$4:$T$60,2,FALSE)</f>
        <v>#N/A</v>
      </c>
      <c r="U53" s="3" t="e">
        <f>VLOOKUP(D53,LookupLists!$N$4:$T$60,3,FALSE)</f>
        <v>#N/A</v>
      </c>
      <c r="V53" s="3" t="e">
        <f>VLOOKUP(D53,LookupLists!$N$4:$T$60,5,FALSE)</f>
        <v>#N/A</v>
      </c>
    </row>
    <row r="54" spans="5:22" x14ac:dyDescent="0.3">
      <c r="E54" s="3" t="str">
        <f t="shared" si="0"/>
        <v/>
      </c>
      <c r="F54" s="3" t="str">
        <f xml:space="preserve"> IF(E54="","",  IFERROR(VLOOKUP(D54,LookupLists!$N$3:$T$60,6,FALSE)-LEN(E54),0))</f>
        <v/>
      </c>
      <c r="G54" s="3" t="str">
        <f>IF(E54="","",IFERROR(matches(E54,VLOOKUP(D54,LookupLists!$N$3:$T$60,7,FALSE)),FALSE))</f>
        <v/>
      </c>
      <c r="H54" s="3" t="e">
        <f>VLOOKUP(A54,LookupLists!$I$3:$L$60,1,FALSE)</f>
        <v>#N/A</v>
      </c>
      <c r="I54" s="3" t="e">
        <f>VLOOKUP(A54,LookupLists!$I$3:$L$60,2,FALSE)</f>
        <v>#N/A</v>
      </c>
      <c r="J54" s="3" t="e">
        <f>VLOOKUP(A54,LookupLists!$I$3:$L$60,3,FALSE)</f>
        <v>#N/A</v>
      </c>
      <c r="K54" s="3" t="e">
        <f>VLOOKUP(A54,LookupLists!$I$3:$L$60,4,FALSE)</f>
        <v>#N/A</v>
      </c>
      <c r="L54" s="3" t="e">
        <f>VLOOKUP(C54,LookupLists!$A$3:$G$60,1,FALSE)</f>
        <v>#N/A</v>
      </c>
      <c r="M54" s="3" t="e">
        <f>VLOOKUP(C54,LookupLists!$A$3:$G$60,4,FALSE)</f>
        <v>#N/A</v>
      </c>
      <c r="N54" s="3" t="e">
        <f>VLOOKUP(C54,LookupLists!$A$3:$G$60,2,FALSE)</f>
        <v>#N/A</v>
      </c>
      <c r="O54" s="3" t="e">
        <f>VLOOKUP(C54,LookupLists!$A$3:$G$60,3,FALSE)</f>
        <v>#N/A</v>
      </c>
      <c r="P54" s="3" t="e">
        <f>VLOOKUP(C54,LookupLists!$A$3:$G$60,5,FALSE)</f>
        <v>#N/A</v>
      </c>
      <c r="Q54" s="3" t="e">
        <f>VLOOKUP(C54,LookupLists!$A$3:$G$60,6,FALSE)</f>
        <v>#N/A</v>
      </c>
      <c r="R54" s="4" t="e">
        <f>VLOOKUP(C54,LookupLists!$A$3:$G$60,7,FALSE)</f>
        <v>#N/A</v>
      </c>
      <c r="S54" s="3" t="e">
        <f>VLOOKUP(D54,LookupLists!$N$4:$T$60,1,FALSE)</f>
        <v>#N/A</v>
      </c>
      <c r="T54" s="3" t="e">
        <f>VLOOKUP(D54,LookupLists!$N$4:$T$60,2,FALSE)</f>
        <v>#N/A</v>
      </c>
      <c r="U54" s="3" t="e">
        <f>VLOOKUP(D54,LookupLists!$N$4:$T$60,3,FALSE)</f>
        <v>#N/A</v>
      </c>
      <c r="V54" s="3" t="e">
        <f>VLOOKUP(D54,LookupLists!$N$4:$T$60,5,FALSE)</f>
        <v>#N/A</v>
      </c>
    </row>
    <row r="55" spans="5:22" x14ac:dyDescent="0.3">
      <c r="E55" s="3" t="str">
        <f t="shared" si="0"/>
        <v/>
      </c>
      <c r="F55" s="3" t="str">
        <f xml:space="preserve"> IF(E55="","",  IFERROR(VLOOKUP(D55,LookupLists!$N$3:$T$60,6,FALSE)-LEN(E55),0))</f>
        <v/>
      </c>
      <c r="G55" s="3" t="str">
        <f>IF(E55="","",IFERROR(matches(E55,VLOOKUP(D55,LookupLists!$N$3:$T$60,7,FALSE)),FALSE))</f>
        <v/>
      </c>
      <c r="H55" s="3" t="e">
        <f>VLOOKUP(A55,LookupLists!$I$3:$L$60,1,FALSE)</f>
        <v>#N/A</v>
      </c>
      <c r="I55" s="3" t="e">
        <f>VLOOKUP(A55,LookupLists!$I$3:$L$60,2,FALSE)</f>
        <v>#N/A</v>
      </c>
      <c r="J55" s="3" t="e">
        <f>VLOOKUP(A55,LookupLists!$I$3:$L$60,3,FALSE)</f>
        <v>#N/A</v>
      </c>
      <c r="K55" s="3" t="e">
        <f>VLOOKUP(A55,LookupLists!$I$3:$L$60,4,FALSE)</f>
        <v>#N/A</v>
      </c>
      <c r="L55" s="3" t="e">
        <f>VLOOKUP(C55,LookupLists!$A$3:$G$60,1,FALSE)</f>
        <v>#N/A</v>
      </c>
      <c r="M55" s="3" t="e">
        <f>VLOOKUP(C55,LookupLists!$A$3:$G$60,4,FALSE)</f>
        <v>#N/A</v>
      </c>
      <c r="N55" s="3" t="e">
        <f>VLOOKUP(C55,LookupLists!$A$3:$G$60,2,FALSE)</f>
        <v>#N/A</v>
      </c>
      <c r="O55" s="3" t="e">
        <f>VLOOKUP(C55,LookupLists!$A$3:$G$60,3,FALSE)</f>
        <v>#N/A</v>
      </c>
      <c r="P55" s="3" t="e">
        <f>VLOOKUP(C55,LookupLists!$A$3:$G$60,5,FALSE)</f>
        <v>#N/A</v>
      </c>
      <c r="Q55" s="3" t="e">
        <f>VLOOKUP(C55,LookupLists!$A$3:$G$60,6,FALSE)</f>
        <v>#N/A</v>
      </c>
      <c r="R55" s="4" t="e">
        <f>VLOOKUP(C55,LookupLists!$A$3:$G$60,7,FALSE)</f>
        <v>#N/A</v>
      </c>
      <c r="S55" s="3" t="e">
        <f>VLOOKUP(D55,LookupLists!$N$4:$T$60,1,FALSE)</f>
        <v>#N/A</v>
      </c>
      <c r="T55" s="3" t="e">
        <f>VLOOKUP(D55,LookupLists!$N$4:$T$60,2,FALSE)</f>
        <v>#N/A</v>
      </c>
      <c r="U55" s="3" t="e">
        <f>VLOOKUP(D55,LookupLists!$N$4:$T$60,3,FALSE)</f>
        <v>#N/A</v>
      </c>
      <c r="V55" s="3" t="e">
        <f>VLOOKUP(D55,LookupLists!$N$4:$T$60,5,FALSE)</f>
        <v>#N/A</v>
      </c>
    </row>
    <row r="56" spans="5:22" x14ac:dyDescent="0.3">
      <c r="E56" s="3" t="str">
        <f t="shared" si="0"/>
        <v/>
      </c>
      <c r="F56" s="3" t="str">
        <f xml:space="preserve"> IF(E56="","",  IFERROR(VLOOKUP(D56,LookupLists!$N$3:$T$60,6,FALSE)-LEN(E56),0))</f>
        <v/>
      </c>
      <c r="G56" s="3" t="str">
        <f>IF(E56="","",IFERROR(matches(E56,VLOOKUP(D56,LookupLists!$N$3:$T$60,7,FALSE)),FALSE))</f>
        <v/>
      </c>
      <c r="H56" s="3" t="e">
        <f>VLOOKUP(A56,LookupLists!$I$3:$L$60,1,FALSE)</f>
        <v>#N/A</v>
      </c>
      <c r="I56" s="3" t="e">
        <f>VLOOKUP(A56,LookupLists!$I$3:$L$60,2,FALSE)</f>
        <v>#N/A</v>
      </c>
      <c r="J56" s="3" t="e">
        <f>VLOOKUP(A56,LookupLists!$I$3:$L$60,3,FALSE)</f>
        <v>#N/A</v>
      </c>
      <c r="K56" s="3" t="e">
        <f>VLOOKUP(A56,LookupLists!$I$3:$L$60,4,FALSE)</f>
        <v>#N/A</v>
      </c>
      <c r="L56" s="3" t="e">
        <f>VLOOKUP(C56,LookupLists!$A$3:$G$60,1,FALSE)</f>
        <v>#N/A</v>
      </c>
      <c r="M56" s="3" t="e">
        <f>VLOOKUP(C56,LookupLists!$A$3:$G$60,4,FALSE)</f>
        <v>#N/A</v>
      </c>
      <c r="N56" s="3" t="e">
        <f>VLOOKUP(C56,LookupLists!$A$3:$G$60,2,FALSE)</f>
        <v>#N/A</v>
      </c>
      <c r="O56" s="3" t="e">
        <f>VLOOKUP(C56,LookupLists!$A$3:$G$60,3,FALSE)</f>
        <v>#N/A</v>
      </c>
      <c r="P56" s="3" t="e">
        <f>VLOOKUP(C56,LookupLists!$A$3:$G$60,5,FALSE)</f>
        <v>#N/A</v>
      </c>
      <c r="Q56" s="3" t="e">
        <f>VLOOKUP(C56,LookupLists!$A$3:$G$60,6,FALSE)</f>
        <v>#N/A</v>
      </c>
      <c r="R56" s="4" t="e">
        <f>VLOOKUP(C56,LookupLists!$A$3:$G$60,7,FALSE)</f>
        <v>#N/A</v>
      </c>
      <c r="S56" s="3" t="e">
        <f>VLOOKUP(D56,LookupLists!$N$4:$T$60,1,FALSE)</f>
        <v>#N/A</v>
      </c>
      <c r="T56" s="3" t="e">
        <f>VLOOKUP(D56,LookupLists!$N$4:$T$60,2,FALSE)</f>
        <v>#N/A</v>
      </c>
      <c r="U56" s="3" t="e">
        <f>VLOOKUP(D56,LookupLists!$N$4:$T$60,3,FALSE)</f>
        <v>#N/A</v>
      </c>
      <c r="V56" s="3" t="e">
        <f>VLOOKUP(D56,LookupLists!$N$4:$T$60,5,FALSE)</f>
        <v>#N/A</v>
      </c>
    </row>
    <row r="57" spans="5:22" x14ac:dyDescent="0.3">
      <c r="E57" s="3" t="str">
        <f t="shared" si="0"/>
        <v/>
      </c>
      <c r="F57" s="3" t="str">
        <f xml:space="preserve"> IF(E57="","",  IFERROR(VLOOKUP(D57,LookupLists!$N$3:$T$60,6,FALSE)-LEN(E57),0))</f>
        <v/>
      </c>
      <c r="G57" s="3" t="str">
        <f>IF(E57="","",IFERROR(matches(E57,VLOOKUP(D57,LookupLists!$N$3:$T$60,7,FALSE)),FALSE))</f>
        <v/>
      </c>
      <c r="H57" s="3" t="e">
        <f>VLOOKUP(A57,LookupLists!$I$3:$L$60,1,FALSE)</f>
        <v>#N/A</v>
      </c>
      <c r="I57" s="3" t="e">
        <f>VLOOKUP(A57,LookupLists!$I$3:$L$60,2,FALSE)</f>
        <v>#N/A</v>
      </c>
      <c r="J57" s="3" t="e">
        <f>VLOOKUP(A57,LookupLists!$I$3:$L$60,3,FALSE)</f>
        <v>#N/A</v>
      </c>
      <c r="K57" s="3" t="e">
        <f>VLOOKUP(A57,LookupLists!$I$3:$L$60,4,FALSE)</f>
        <v>#N/A</v>
      </c>
      <c r="L57" s="3" t="e">
        <f>VLOOKUP(C57,LookupLists!$A$3:$G$60,1,FALSE)</f>
        <v>#N/A</v>
      </c>
      <c r="M57" s="3" t="e">
        <f>VLOOKUP(C57,LookupLists!$A$3:$G$60,4,FALSE)</f>
        <v>#N/A</v>
      </c>
      <c r="N57" s="3" t="e">
        <f>VLOOKUP(C57,LookupLists!$A$3:$G$60,2,FALSE)</f>
        <v>#N/A</v>
      </c>
      <c r="O57" s="3" t="e">
        <f>VLOOKUP(C57,LookupLists!$A$3:$G$60,3,FALSE)</f>
        <v>#N/A</v>
      </c>
      <c r="P57" s="3" t="e">
        <f>VLOOKUP(C57,LookupLists!$A$3:$G$60,5,FALSE)</f>
        <v>#N/A</v>
      </c>
      <c r="Q57" s="3" t="e">
        <f>VLOOKUP(C57,LookupLists!$A$3:$G$60,6,FALSE)</f>
        <v>#N/A</v>
      </c>
      <c r="R57" s="4" t="e">
        <f>VLOOKUP(C57,LookupLists!$A$3:$G$60,7,FALSE)</f>
        <v>#N/A</v>
      </c>
      <c r="S57" s="3" t="e">
        <f>VLOOKUP(D57,LookupLists!$N$4:$T$60,1,FALSE)</f>
        <v>#N/A</v>
      </c>
      <c r="T57" s="3" t="e">
        <f>VLOOKUP(D57,LookupLists!$N$4:$T$60,2,FALSE)</f>
        <v>#N/A</v>
      </c>
      <c r="U57" s="3" t="e">
        <f>VLOOKUP(D57,LookupLists!$N$4:$T$60,3,FALSE)</f>
        <v>#N/A</v>
      </c>
      <c r="V57" s="3" t="e">
        <f>VLOOKUP(D57,LookupLists!$N$4:$T$60,5,FALSE)</f>
        <v>#N/A</v>
      </c>
    </row>
    <row r="58" spans="5:22" x14ac:dyDescent="0.3">
      <c r="E58" s="3" t="str">
        <f t="shared" si="0"/>
        <v/>
      </c>
      <c r="F58" s="3" t="str">
        <f xml:space="preserve"> IF(E58="","",  IFERROR(VLOOKUP(D58,LookupLists!$N$3:$T$60,6,FALSE)-LEN(E58),0))</f>
        <v/>
      </c>
      <c r="G58" s="3" t="str">
        <f>IF(E58="","",IFERROR(matches(E58,VLOOKUP(D58,LookupLists!$N$3:$T$60,7,FALSE)),FALSE))</f>
        <v/>
      </c>
      <c r="H58" s="3" t="e">
        <f>VLOOKUP(A58,LookupLists!$I$3:$L$60,1,FALSE)</f>
        <v>#N/A</v>
      </c>
      <c r="I58" s="3" t="e">
        <f>VLOOKUP(A58,LookupLists!$I$3:$L$60,2,FALSE)</f>
        <v>#N/A</v>
      </c>
      <c r="J58" s="3" t="e">
        <f>VLOOKUP(A58,LookupLists!$I$3:$L$60,3,FALSE)</f>
        <v>#N/A</v>
      </c>
      <c r="K58" s="3" t="e">
        <f>VLOOKUP(A58,LookupLists!$I$3:$L$60,4,FALSE)</f>
        <v>#N/A</v>
      </c>
      <c r="L58" s="3" t="e">
        <f>VLOOKUP(C58,LookupLists!$A$3:$G$60,1,FALSE)</f>
        <v>#N/A</v>
      </c>
      <c r="M58" s="3" t="e">
        <f>VLOOKUP(C58,LookupLists!$A$3:$G$60,4,FALSE)</f>
        <v>#N/A</v>
      </c>
      <c r="N58" s="3" t="e">
        <f>VLOOKUP(C58,LookupLists!$A$3:$G$60,2,FALSE)</f>
        <v>#N/A</v>
      </c>
      <c r="O58" s="3" t="e">
        <f>VLOOKUP(C58,LookupLists!$A$3:$G$60,3,FALSE)</f>
        <v>#N/A</v>
      </c>
      <c r="P58" s="3" t="e">
        <f>VLOOKUP(C58,LookupLists!$A$3:$G$60,5,FALSE)</f>
        <v>#N/A</v>
      </c>
      <c r="Q58" s="3" t="e">
        <f>VLOOKUP(C58,LookupLists!$A$3:$G$60,6,FALSE)</f>
        <v>#N/A</v>
      </c>
      <c r="R58" s="4" t="e">
        <f>VLOOKUP(C58,LookupLists!$A$3:$G$60,7,FALSE)</f>
        <v>#N/A</v>
      </c>
      <c r="S58" s="3" t="e">
        <f>VLOOKUP(D58,LookupLists!$N$4:$T$60,1,FALSE)</f>
        <v>#N/A</v>
      </c>
      <c r="T58" s="3" t="e">
        <f>VLOOKUP(D58,LookupLists!$N$4:$T$60,2,FALSE)</f>
        <v>#N/A</v>
      </c>
      <c r="U58" s="3" t="e">
        <f>VLOOKUP(D58,LookupLists!$N$4:$T$60,3,FALSE)</f>
        <v>#N/A</v>
      </c>
      <c r="V58" s="3" t="e">
        <f>VLOOKUP(D58,LookupLists!$N$4:$T$60,5,FALSE)</f>
        <v>#N/A</v>
      </c>
    </row>
    <row r="59" spans="5:22" x14ac:dyDescent="0.3">
      <c r="E59" s="3" t="str">
        <f t="shared" si="0"/>
        <v/>
      </c>
      <c r="F59" s="3" t="str">
        <f xml:space="preserve"> IF(E59="","",  IFERROR(VLOOKUP(D59,LookupLists!$N$3:$T$60,6,FALSE)-LEN(E59),0))</f>
        <v/>
      </c>
      <c r="G59" s="3" t="str">
        <f>IF(E59="","",IFERROR(matches(E59,VLOOKUP(D59,LookupLists!$N$3:$T$60,7,FALSE)),FALSE))</f>
        <v/>
      </c>
      <c r="H59" s="3" t="e">
        <f>VLOOKUP(A59,LookupLists!$I$3:$L$60,1,FALSE)</f>
        <v>#N/A</v>
      </c>
      <c r="I59" s="3" t="e">
        <f>VLOOKUP(A59,LookupLists!$I$3:$L$60,2,FALSE)</f>
        <v>#N/A</v>
      </c>
      <c r="J59" s="3" t="e">
        <f>VLOOKUP(A59,LookupLists!$I$3:$L$60,3,FALSE)</f>
        <v>#N/A</v>
      </c>
      <c r="K59" s="3" t="e">
        <f>VLOOKUP(A59,LookupLists!$I$3:$L$60,4,FALSE)</f>
        <v>#N/A</v>
      </c>
      <c r="L59" s="3" t="e">
        <f>VLOOKUP(C59,LookupLists!$A$3:$G$60,1,FALSE)</f>
        <v>#N/A</v>
      </c>
      <c r="M59" s="3" t="e">
        <f>VLOOKUP(C59,LookupLists!$A$3:$G$60,4,FALSE)</f>
        <v>#N/A</v>
      </c>
      <c r="N59" s="3" t="e">
        <f>VLOOKUP(C59,LookupLists!$A$3:$G$60,2,FALSE)</f>
        <v>#N/A</v>
      </c>
      <c r="O59" s="3" t="e">
        <f>VLOOKUP(C59,LookupLists!$A$3:$G$60,3,FALSE)</f>
        <v>#N/A</v>
      </c>
      <c r="P59" s="3" t="e">
        <f>VLOOKUP(C59,LookupLists!$A$3:$G$60,5,FALSE)</f>
        <v>#N/A</v>
      </c>
      <c r="Q59" s="3" t="e">
        <f>VLOOKUP(C59,LookupLists!$A$3:$G$60,6,FALSE)</f>
        <v>#N/A</v>
      </c>
      <c r="R59" s="4" t="e">
        <f>VLOOKUP(C59,LookupLists!$A$3:$G$60,7,FALSE)</f>
        <v>#N/A</v>
      </c>
      <c r="S59" s="3" t="e">
        <f>VLOOKUP(D59,LookupLists!$N$4:$T$60,1,FALSE)</f>
        <v>#N/A</v>
      </c>
      <c r="T59" s="3" t="e">
        <f>VLOOKUP(D59,LookupLists!$N$4:$T$60,2,FALSE)</f>
        <v>#N/A</v>
      </c>
      <c r="U59" s="3" t="e">
        <f>VLOOKUP(D59,LookupLists!$N$4:$T$60,3,FALSE)</f>
        <v>#N/A</v>
      </c>
      <c r="V59" s="3" t="e">
        <f>VLOOKUP(D59,LookupLists!$N$4:$T$60,5,FALSE)</f>
        <v>#N/A</v>
      </c>
    </row>
    <row r="60" spans="5:22" x14ac:dyDescent="0.3">
      <c r="E60" s="3" t="str">
        <f t="shared" si="0"/>
        <v/>
      </c>
      <c r="F60" s="3" t="str">
        <f xml:space="preserve"> IF(E60="","",  IFERROR(VLOOKUP(D60,LookupLists!$N$3:$T$60,6,FALSE)-LEN(E60),0))</f>
        <v/>
      </c>
      <c r="G60" s="3" t="str">
        <f>IF(E60="","",IFERROR(matches(E60,VLOOKUP(D60,LookupLists!$N$3:$T$60,7,FALSE)),FALSE))</f>
        <v/>
      </c>
      <c r="H60" s="3" t="e">
        <f>VLOOKUP(A60,LookupLists!$I$3:$L$60,1,FALSE)</f>
        <v>#N/A</v>
      </c>
      <c r="I60" s="3" t="e">
        <f>VLOOKUP(A60,LookupLists!$I$3:$L$60,2,FALSE)</f>
        <v>#N/A</v>
      </c>
      <c r="J60" s="3" t="e">
        <f>VLOOKUP(A60,LookupLists!$I$3:$L$60,3,FALSE)</f>
        <v>#N/A</v>
      </c>
      <c r="K60" s="3" t="e">
        <f>VLOOKUP(A60,LookupLists!$I$3:$L$60,4,FALSE)</f>
        <v>#N/A</v>
      </c>
      <c r="L60" s="3" t="e">
        <f>VLOOKUP(C60,LookupLists!$A$3:$G$60,1,FALSE)</f>
        <v>#N/A</v>
      </c>
      <c r="M60" s="3" t="e">
        <f>VLOOKUP(C60,LookupLists!$A$3:$G$60,4,FALSE)</f>
        <v>#N/A</v>
      </c>
      <c r="N60" s="3" t="e">
        <f>VLOOKUP(C60,LookupLists!$A$3:$G$60,2,FALSE)</f>
        <v>#N/A</v>
      </c>
      <c r="O60" s="3" t="e">
        <f>VLOOKUP(C60,LookupLists!$A$3:$G$60,3,FALSE)</f>
        <v>#N/A</v>
      </c>
      <c r="P60" s="3" t="e">
        <f>VLOOKUP(C60,LookupLists!$A$3:$G$60,5,FALSE)</f>
        <v>#N/A</v>
      </c>
      <c r="Q60" s="3" t="e">
        <f>VLOOKUP(C60,LookupLists!$A$3:$G$60,6,FALSE)</f>
        <v>#N/A</v>
      </c>
      <c r="R60" s="4" t="e">
        <f>VLOOKUP(C60,LookupLists!$A$3:$G$60,7,FALSE)</f>
        <v>#N/A</v>
      </c>
      <c r="S60" s="3" t="e">
        <f>VLOOKUP(D60,LookupLists!$N$4:$T$60,1,FALSE)</f>
        <v>#N/A</v>
      </c>
      <c r="T60" s="3" t="e">
        <f>VLOOKUP(D60,LookupLists!$N$4:$T$60,2,FALSE)</f>
        <v>#N/A</v>
      </c>
      <c r="U60" s="3" t="e">
        <f>VLOOKUP(D60,LookupLists!$N$4:$T$60,3,FALSE)</f>
        <v>#N/A</v>
      </c>
      <c r="V60" s="3" t="e">
        <f>VLOOKUP(D60,LookupLists!$N$4:$T$60,5,FALSE)</f>
        <v>#N/A</v>
      </c>
    </row>
    <row r="61" spans="5:22" x14ac:dyDescent="0.3">
      <c r="E61" s="3" t="str">
        <f t="shared" si="0"/>
        <v/>
      </c>
      <c r="F61" s="3" t="str">
        <f xml:space="preserve"> IF(E61="","",  IFERROR(VLOOKUP(D61,LookupLists!$N$3:$T$60,6,FALSE)-LEN(E61),0))</f>
        <v/>
      </c>
      <c r="G61" s="3" t="str">
        <f>IF(E61="","",IFERROR(matches(E61,VLOOKUP(D61,LookupLists!$N$3:$T$60,7,FALSE)),FALSE))</f>
        <v/>
      </c>
      <c r="H61" s="3" t="e">
        <f>VLOOKUP(A61,LookupLists!$I$3:$L$60,1,FALSE)</f>
        <v>#N/A</v>
      </c>
      <c r="I61" s="3" t="e">
        <f>VLOOKUP(A61,LookupLists!$I$3:$L$60,2,FALSE)</f>
        <v>#N/A</v>
      </c>
      <c r="J61" s="3" t="e">
        <f>VLOOKUP(A61,LookupLists!$I$3:$L$60,3,FALSE)</f>
        <v>#N/A</v>
      </c>
      <c r="K61" s="3" t="e">
        <f>VLOOKUP(A61,LookupLists!$I$3:$L$60,4,FALSE)</f>
        <v>#N/A</v>
      </c>
      <c r="L61" s="3" t="e">
        <f>VLOOKUP(C61,LookupLists!$A$3:$G$60,1,FALSE)</f>
        <v>#N/A</v>
      </c>
      <c r="M61" s="3" t="e">
        <f>VLOOKUP(C61,LookupLists!$A$3:$G$60,4,FALSE)</f>
        <v>#N/A</v>
      </c>
      <c r="N61" s="3" t="e">
        <f>VLOOKUP(C61,LookupLists!$A$3:$G$60,2,FALSE)</f>
        <v>#N/A</v>
      </c>
      <c r="O61" s="3" t="e">
        <f>VLOOKUP(C61,LookupLists!$A$3:$G$60,3,FALSE)</f>
        <v>#N/A</v>
      </c>
      <c r="P61" s="3" t="e">
        <f>VLOOKUP(C61,LookupLists!$A$3:$G$60,5,FALSE)</f>
        <v>#N/A</v>
      </c>
      <c r="Q61" s="3" t="e">
        <f>VLOOKUP(C61,LookupLists!$A$3:$G$60,6,FALSE)</f>
        <v>#N/A</v>
      </c>
      <c r="R61" s="4" t="e">
        <f>VLOOKUP(C61,LookupLists!$A$3:$G$60,7,FALSE)</f>
        <v>#N/A</v>
      </c>
      <c r="S61" s="3" t="e">
        <f>VLOOKUP(D61,LookupLists!$N$4:$T$60,1,FALSE)</f>
        <v>#N/A</v>
      </c>
      <c r="T61" s="3" t="e">
        <f>VLOOKUP(D61,LookupLists!$N$4:$T$60,2,FALSE)</f>
        <v>#N/A</v>
      </c>
      <c r="U61" s="3" t="e">
        <f>VLOOKUP(D61,LookupLists!$N$4:$T$60,3,FALSE)</f>
        <v>#N/A</v>
      </c>
      <c r="V61" s="3" t="e">
        <f>VLOOKUP(D61,LookupLists!$N$4:$T$60,5,FALSE)</f>
        <v>#N/A</v>
      </c>
    </row>
    <row r="62" spans="5:22" x14ac:dyDescent="0.3">
      <c r="E62" s="3" t="str">
        <f t="shared" si="0"/>
        <v/>
      </c>
      <c r="F62" s="3" t="str">
        <f xml:space="preserve"> IF(E62="","",  IFERROR(VLOOKUP(D62,LookupLists!$N$3:$T$60,6,FALSE)-LEN(E62),0))</f>
        <v/>
      </c>
      <c r="G62" s="3" t="str">
        <f>IF(E62="","",IFERROR(matches(E62,VLOOKUP(D62,LookupLists!$N$3:$T$60,7,FALSE)),FALSE))</f>
        <v/>
      </c>
      <c r="H62" s="3" t="e">
        <f>VLOOKUP(A62,LookupLists!$I$3:$L$60,1,FALSE)</f>
        <v>#N/A</v>
      </c>
      <c r="I62" s="3" t="e">
        <f>VLOOKUP(A62,LookupLists!$I$3:$L$60,2,FALSE)</f>
        <v>#N/A</v>
      </c>
      <c r="J62" s="3" t="e">
        <f>VLOOKUP(A62,LookupLists!$I$3:$L$60,3,FALSE)</f>
        <v>#N/A</v>
      </c>
      <c r="K62" s="3" t="e">
        <f>VLOOKUP(A62,LookupLists!$I$3:$L$60,4,FALSE)</f>
        <v>#N/A</v>
      </c>
      <c r="L62" s="3" t="e">
        <f>VLOOKUP(C62,LookupLists!$A$3:$G$60,1,FALSE)</f>
        <v>#N/A</v>
      </c>
      <c r="M62" s="3" t="e">
        <f>VLOOKUP(C62,LookupLists!$A$3:$G$60,4,FALSE)</f>
        <v>#N/A</v>
      </c>
      <c r="N62" s="3" t="e">
        <f>VLOOKUP(C62,LookupLists!$A$3:$G$60,2,FALSE)</f>
        <v>#N/A</v>
      </c>
      <c r="O62" s="3" t="e">
        <f>VLOOKUP(C62,LookupLists!$A$3:$G$60,3,FALSE)</f>
        <v>#N/A</v>
      </c>
      <c r="P62" s="3" t="e">
        <f>VLOOKUP(C62,LookupLists!$A$3:$G$60,5,FALSE)</f>
        <v>#N/A</v>
      </c>
      <c r="Q62" s="3" t="e">
        <f>VLOOKUP(C62,LookupLists!$A$3:$G$60,6,FALSE)</f>
        <v>#N/A</v>
      </c>
      <c r="R62" s="4" t="e">
        <f>VLOOKUP(C62,LookupLists!$A$3:$G$60,7,FALSE)</f>
        <v>#N/A</v>
      </c>
      <c r="S62" s="3" t="e">
        <f>VLOOKUP(D62,LookupLists!$N$4:$T$60,1,FALSE)</f>
        <v>#N/A</v>
      </c>
      <c r="T62" s="3" t="e">
        <f>VLOOKUP(D62,LookupLists!$N$4:$T$60,2,FALSE)</f>
        <v>#N/A</v>
      </c>
      <c r="U62" s="3" t="e">
        <f>VLOOKUP(D62,LookupLists!$N$4:$T$60,3,FALSE)</f>
        <v>#N/A</v>
      </c>
      <c r="V62" s="3" t="e">
        <f>VLOOKUP(D62,LookupLists!$N$4:$T$60,5,FALSE)</f>
        <v>#N/A</v>
      </c>
    </row>
    <row r="63" spans="5:22" x14ac:dyDescent="0.3">
      <c r="E63" s="3" t="str">
        <f t="shared" si="0"/>
        <v/>
      </c>
      <c r="F63" s="3" t="str">
        <f xml:space="preserve"> IF(E63="","",  IFERROR(VLOOKUP(D63,LookupLists!$N$3:$T$60,6,FALSE)-LEN(E63),0))</f>
        <v/>
      </c>
      <c r="G63" s="3" t="str">
        <f>IF(E63="","",IFERROR(matches(E63,VLOOKUP(D63,LookupLists!$N$3:$T$60,7,FALSE)),FALSE))</f>
        <v/>
      </c>
      <c r="H63" s="3" t="e">
        <f>VLOOKUP(A63,LookupLists!$I$3:$L$60,1,FALSE)</f>
        <v>#N/A</v>
      </c>
      <c r="I63" s="3" t="e">
        <f>VLOOKUP(A63,LookupLists!$I$3:$L$60,2,FALSE)</f>
        <v>#N/A</v>
      </c>
      <c r="J63" s="3" t="e">
        <f>VLOOKUP(A63,LookupLists!$I$3:$L$60,3,FALSE)</f>
        <v>#N/A</v>
      </c>
      <c r="K63" s="3" t="e">
        <f>VLOOKUP(A63,LookupLists!$I$3:$L$60,4,FALSE)</f>
        <v>#N/A</v>
      </c>
      <c r="L63" s="3" t="e">
        <f>VLOOKUP(C63,LookupLists!$A$3:$G$60,1,FALSE)</f>
        <v>#N/A</v>
      </c>
      <c r="M63" s="3" t="e">
        <f>VLOOKUP(C63,LookupLists!$A$3:$G$60,4,FALSE)</f>
        <v>#N/A</v>
      </c>
      <c r="N63" s="3" t="e">
        <f>VLOOKUP(C63,LookupLists!$A$3:$G$60,2,FALSE)</f>
        <v>#N/A</v>
      </c>
      <c r="O63" s="3" t="e">
        <f>VLOOKUP(C63,LookupLists!$A$3:$G$60,3,FALSE)</f>
        <v>#N/A</v>
      </c>
      <c r="P63" s="3" t="e">
        <f>VLOOKUP(C63,LookupLists!$A$3:$G$60,5,FALSE)</f>
        <v>#N/A</v>
      </c>
      <c r="Q63" s="3" t="e">
        <f>VLOOKUP(C63,LookupLists!$A$3:$G$60,6,FALSE)</f>
        <v>#N/A</v>
      </c>
      <c r="R63" s="4" t="e">
        <f>VLOOKUP(C63,LookupLists!$A$3:$G$60,7,FALSE)</f>
        <v>#N/A</v>
      </c>
      <c r="S63" s="3" t="e">
        <f>VLOOKUP(D63,LookupLists!$N$4:$T$60,1,FALSE)</f>
        <v>#N/A</v>
      </c>
      <c r="T63" s="3" t="e">
        <f>VLOOKUP(D63,LookupLists!$N$4:$T$60,2,FALSE)</f>
        <v>#N/A</v>
      </c>
      <c r="U63" s="3" t="e">
        <f>VLOOKUP(D63,LookupLists!$N$4:$T$60,3,FALSE)</f>
        <v>#N/A</v>
      </c>
      <c r="V63" s="3" t="e">
        <f>VLOOKUP(D63,LookupLists!$N$4:$T$60,5,FALSE)</f>
        <v>#N/A</v>
      </c>
    </row>
    <row r="64" spans="5:22" x14ac:dyDescent="0.3">
      <c r="E64" s="3" t="str">
        <f t="shared" si="0"/>
        <v/>
      </c>
      <c r="F64" s="3" t="str">
        <f xml:space="preserve"> IF(E64="","",  IFERROR(VLOOKUP(D64,LookupLists!$N$3:$T$60,6,FALSE)-LEN(E64),0))</f>
        <v/>
      </c>
      <c r="G64" s="3" t="str">
        <f>IF(E64="","",IFERROR(matches(E64,VLOOKUP(D64,LookupLists!$N$3:$T$60,7,FALSE)),FALSE))</f>
        <v/>
      </c>
      <c r="H64" s="3" t="e">
        <f>VLOOKUP(A64,LookupLists!$I$3:$L$60,1,FALSE)</f>
        <v>#N/A</v>
      </c>
      <c r="I64" s="3" t="e">
        <f>VLOOKUP(A64,LookupLists!$I$3:$L$60,2,FALSE)</f>
        <v>#N/A</v>
      </c>
      <c r="J64" s="3" t="e">
        <f>VLOOKUP(A64,LookupLists!$I$3:$L$60,3,FALSE)</f>
        <v>#N/A</v>
      </c>
      <c r="K64" s="3" t="e">
        <f>VLOOKUP(A64,LookupLists!$I$3:$L$60,4,FALSE)</f>
        <v>#N/A</v>
      </c>
      <c r="L64" s="3" t="e">
        <f>VLOOKUP(C64,LookupLists!$A$3:$G$60,1,FALSE)</f>
        <v>#N/A</v>
      </c>
      <c r="M64" s="3" t="e">
        <f>VLOOKUP(C64,LookupLists!$A$3:$G$60,4,FALSE)</f>
        <v>#N/A</v>
      </c>
      <c r="N64" s="3" t="e">
        <f>VLOOKUP(C64,LookupLists!$A$3:$G$60,2,FALSE)</f>
        <v>#N/A</v>
      </c>
      <c r="O64" s="3" t="e">
        <f>VLOOKUP(C64,LookupLists!$A$3:$G$60,3,FALSE)</f>
        <v>#N/A</v>
      </c>
      <c r="P64" s="3" t="e">
        <f>VLOOKUP(C64,LookupLists!$A$3:$G$60,5,FALSE)</f>
        <v>#N/A</v>
      </c>
      <c r="Q64" s="3" t="e">
        <f>VLOOKUP(C64,LookupLists!$A$3:$G$60,6,FALSE)</f>
        <v>#N/A</v>
      </c>
      <c r="R64" s="4" t="e">
        <f>VLOOKUP(C64,LookupLists!$A$3:$G$60,7,FALSE)</f>
        <v>#N/A</v>
      </c>
      <c r="S64" s="3" t="e">
        <f>VLOOKUP(D64,LookupLists!$N$4:$T$60,1,FALSE)</f>
        <v>#N/A</v>
      </c>
      <c r="T64" s="3" t="e">
        <f>VLOOKUP(D64,LookupLists!$N$4:$T$60,2,FALSE)</f>
        <v>#N/A</v>
      </c>
      <c r="U64" s="3" t="e">
        <f>VLOOKUP(D64,LookupLists!$N$4:$T$60,3,FALSE)</f>
        <v>#N/A</v>
      </c>
      <c r="V64" s="3" t="e">
        <f>VLOOKUP(D64,LookupLists!$N$4:$T$60,5,FALSE)</f>
        <v>#N/A</v>
      </c>
    </row>
    <row r="65" spans="5:22" x14ac:dyDescent="0.3">
      <c r="E65" s="3" t="str">
        <f t="shared" si="0"/>
        <v/>
      </c>
      <c r="F65" s="3" t="str">
        <f xml:space="preserve"> IF(E65="","",  IFERROR(VLOOKUP(D65,LookupLists!$N$3:$T$60,6,FALSE)-LEN(E65),0))</f>
        <v/>
      </c>
      <c r="G65" s="3" t="str">
        <f>IF(E65="","",IFERROR(matches(E65,VLOOKUP(D65,LookupLists!$N$3:$T$60,7,FALSE)),FALSE))</f>
        <v/>
      </c>
      <c r="H65" s="3" t="e">
        <f>VLOOKUP(A65,LookupLists!$I$3:$L$60,1,FALSE)</f>
        <v>#N/A</v>
      </c>
      <c r="I65" s="3" t="e">
        <f>VLOOKUP(A65,LookupLists!$I$3:$L$60,2,FALSE)</f>
        <v>#N/A</v>
      </c>
      <c r="J65" s="3" t="e">
        <f>VLOOKUP(A65,LookupLists!$I$3:$L$60,3,FALSE)</f>
        <v>#N/A</v>
      </c>
      <c r="K65" s="3" t="e">
        <f>VLOOKUP(A65,LookupLists!$I$3:$L$60,4,FALSE)</f>
        <v>#N/A</v>
      </c>
      <c r="L65" s="3" t="e">
        <f>VLOOKUP(C65,LookupLists!$A$3:$G$60,1,FALSE)</f>
        <v>#N/A</v>
      </c>
      <c r="M65" s="3" t="e">
        <f>VLOOKUP(C65,LookupLists!$A$3:$G$60,4,FALSE)</f>
        <v>#N/A</v>
      </c>
      <c r="N65" s="3" t="e">
        <f>VLOOKUP(C65,LookupLists!$A$3:$G$60,2,FALSE)</f>
        <v>#N/A</v>
      </c>
      <c r="O65" s="3" t="e">
        <f>VLOOKUP(C65,LookupLists!$A$3:$G$60,3,FALSE)</f>
        <v>#N/A</v>
      </c>
      <c r="P65" s="3" t="e">
        <f>VLOOKUP(C65,LookupLists!$A$3:$G$60,5,FALSE)</f>
        <v>#N/A</v>
      </c>
      <c r="Q65" s="3" t="e">
        <f>VLOOKUP(C65,LookupLists!$A$3:$G$60,6,FALSE)</f>
        <v>#N/A</v>
      </c>
      <c r="R65" s="4" t="e">
        <f>VLOOKUP(C65,LookupLists!$A$3:$G$60,7,FALSE)</f>
        <v>#N/A</v>
      </c>
      <c r="S65" s="3" t="e">
        <f>VLOOKUP(D65,LookupLists!$N$4:$T$60,1,FALSE)</f>
        <v>#N/A</v>
      </c>
      <c r="T65" s="3" t="e">
        <f>VLOOKUP(D65,LookupLists!$N$4:$T$60,2,FALSE)</f>
        <v>#N/A</v>
      </c>
      <c r="U65" s="3" t="e">
        <f>VLOOKUP(D65,LookupLists!$N$4:$T$60,3,FALSE)</f>
        <v>#N/A</v>
      </c>
      <c r="V65" s="3" t="e">
        <f>VLOOKUP(D65,LookupLists!$N$4:$T$60,5,FALSE)</f>
        <v>#N/A</v>
      </c>
    </row>
    <row r="66" spans="5:22" x14ac:dyDescent="0.3">
      <c r="E66" s="3" t="str">
        <f t="shared" si="0"/>
        <v/>
      </c>
      <c r="F66" s="3" t="str">
        <f xml:space="preserve"> IF(E66="","",  IFERROR(VLOOKUP(D66,LookupLists!$N$3:$T$60,6,FALSE)-LEN(E66),0))</f>
        <v/>
      </c>
      <c r="G66" s="3" t="str">
        <f>IF(E66="","",IFERROR(matches(E66,VLOOKUP(D66,LookupLists!$N$3:$T$60,7,FALSE)),FALSE))</f>
        <v/>
      </c>
      <c r="H66" s="3" t="e">
        <f>VLOOKUP(A66,LookupLists!$I$3:$L$60,1,FALSE)</f>
        <v>#N/A</v>
      </c>
      <c r="I66" s="3" t="e">
        <f>VLOOKUP(A66,LookupLists!$I$3:$L$60,2,FALSE)</f>
        <v>#N/A</v>
      </c>
      <c r="J66" s="3" t="e">
        <f>VLOOKUP(A66,LookupLists!$I$3:$L$60,3,FALSE)</f>
        <v>#N/A</v>
      </c>
      <c r="K66" s="3" t="e">
        <f>VLOOKUP(A66,LookupLists!$I$3:$L$60,4,FALSE)</f>
        <v>#N/A</v>
      </c>
      <c r="L66" s="3" t="e">
        <f>VLOOKUP(C66,LookupLists!$A$3:$G$60,1,FALSE)</f>
        <v>#N/A</v>
      </c>
      <c r="M66" s="3" t="e">
        <f>VLOOKUP(C66,LookupLists!$A$3:$G$60,4,FALSE)</f>
        <v>#N/A</v>
      </c>
      <c r="N66" s="3" t="e">
        <f>VLOOKUP(C66,LookupLists!$A$3:$G$60,2,FALSE)</f>
        <v>#N/A</v>
      </c>
      <c r="O66" s="3" t="e">
        <f>VLOOKUP(C66,LookupLists!$A$3:$G$60,3,FALSE)</f>
        <v>#N/A</v>
      </c>
      <c r="P66" s="3" t="e">
        <f>VLOOKUP(C66,LookupLists!$A$3:$G$60,5,FALSE)</f>
        <v>#N/A</v>
      </c>
      <c r="Q66" s="3" t="e">
        <f>VLOOKUP(C66,LookupLists!$A$3:$G$60,6,FALSE)</f>
        <v>#N/A</v>
      </c>
      <c r="R66" s="4" t="e">
        <f>VLOOKUP(C66,LookupLists!$A$3:$G$60,7,FALSE)</f>
        <v>#N/A</v>
      </c>
      <c r="S66" s="3" t="e">
        <f>VLOOKUP(D66,LookupLists!$N$4:$T$60,1,FALSE)</f>
        <v>#N/A</v>
      </c>
      <c r="T66" s="3" t="e">
        <f>VLOOKUP(D66,LookupLists!$N$4:$T$60,2,FALSE)</f>
        <v>#N/A</v>
      </c>
      <c r="U66" s="3" t="e">
        <f>VLOOKUP(D66,LookupLists!$N$4:$T$60,3,FALSE)</f>
        <v>#N/A</v>
      </c>
      <c r="V66" s="3" t="e">
        <f>VLOOKUP(D66,LookupLists!$N$4:$T$60,5,FALSE)</f>
        <v>#N/A</v>
      </c>
    </row>
    <row r="67" spans="5:22" x14ac:dyDescent="0.3">
      <c r="E67" s="3" t="str">
        <f t="shared" si="0"/>
        <v/>
      </c>
      <c r="F67" s="3" t="str">
        <f xml:space="preserve"> IF(E67="","",  IFERROR(VLOOKUP(D67,LookupLists!$N$3:$T$60,6,FALSE)-LEN(E67),0))</f>
        <v/>
      </c>
      <c r="G67" s="3" t="str">
        <f>IF(E67="","",IFERROR(matches(E67,VLOOKUP(D67,LookupLists!$N$3:$T$60,7,FALSE)),FALSE))</f>
        <v/>
      </c>
      <c r="H67" s="3" t="e">
        <f>VLOOKUP(A67,LookupLists!$I$3:$L$60,1,FALSE)</f>
        <v>#N/A</v>
      </c>
      <c r="I67" s="3" t="e">
        <f>VLOOKUP(A67,LookupLists!$I$3:$L$60,2,FALSE)</f>
        <v>#N/A</v>
      </c>
      <c r="J67" s="3" t="e">
        <f>VLOOKUP(A67,LookupLists!$I$3:$L$60,3,FALSE)</f>
        <v>#N/A</v>
      </c>
      <c r="K67" s="3" t="e">
        <f>VLOOKUP(A67,LookupLists!$I$3:$L$60,4,FALSE)</f>
        <v>#N/A</v>
      </c>
      <c r="L67" s="3" t="e">
        <f>VLOOKUP(C67,LookupLists!$A$3:$G$60,1,FALSE)</f>
        <v>#N/A</v>
      </c>
      <c r="M67" s="3" t="e">
        <f>VLOOKUP(C67,LookupLists!$A$3:$G$60,4,FALSE)</f>
        <v>#N/A</v>
      </c>
      <c r="N67" s="3" t="e">
        <f>VLOOKUP(C67,LookupLists!$A$3:$G$60,2,FALSE)</f>
        <v>#N/A</v>
      </c>
      <c r="O67" s="3" t="e">
        <f>VLOOKUP(C67,LookupLists!$A$3:$G$60,3,FALSE)</f>
        <v>#N/A</v>
      </c>
      <c r="P67" s="3" t="e">
        <f>VLOOKUP(C67,LookupLists!$A$3:$G$60,5,FALSE)</f>
        <v>#N/A</v>
      </c>
      <c r="Q67" s="3" t="e">
        <f>VLOOKUP(C67,LookupLists!$A$3:$G$60,6,FALSE)</f>
        <v>#N/A</v>
      </c>
      <c r="R67" s="4" t="e">
        <f>VLOOKUP(C67,LookupLists!$A$3:$G$60,7,FALSE)</f>
        <v>#N/A</v>
      </c>
      <c r="S67" s="3" t="e">
        <f>VLOOKUP(D67,LookupLists!$N$4:$T$60,1,FALSE)</f>
        <v>#N/A</v>
      </c>
      <c r="T67" s="3" t="e">
        <f>VLOOKUP(D67,LookupLists!$N$4:$T$60,2,FALSE)</f>
        <v>#N/A</v>
      </c>
      <c r="U67" s="3" t="e">
        <f>VLOOKUP(D67,LookupLists!$N$4:$T$60,3,FALSE)</f>
        <v>#N/A</v>
      </c>
      <c r="V67" s="3" t="e">
        <f>VLOOKUP(D67,LookupLists!$N$4:$T$60,5,FALSE)</f>
        <v>#N/A</v>
      </c>
    </row>
    <row r="68" spans="5:22" x14ac:dyDescent="0.3">
      <c r="E68" s="3" t="str">
        <f t="shared" si="0"/>
        <v/>
      </c>
      <c r="F68" s="3" t="str">
        <f xml:space="preserve"> IF(E68="","",  IFERROR(VLOOKUP(D68,LookupLists!$N$3:$T$60,6,FALSE)-LEN(E68),0))</f>
        <v/>
      </c>
      <c r="G68" s="3" t="str">
        <f>IF(E68="","",IFERROR(matches(E68,VLOOKUP(D68,LookupLists!$N$3:$T$60,7,FALSE)),FALSE))</f>
        <v/>
      </c>
      <c r="H68" s="3" t="e">
        <f>VLOOKUP(A68,LookupLists!$I$3:$L$60,1,FALSE)</f>
        <v>#N/A</v>
      </c>
      <c r="I68" s="3" t="e">
        <f>VLOOKUP(A68,LookupLists!$I$3:$L$60,2,FALSE)</f>
        <v>#N/A</v>
      </c>
      <c r="J68" s="3" t="e">
        <f>VLOOKUP(A68,LookupLists!$I$3:$L$60,3,FALSE)</f>
        <v>#N/A</v>
      </c>
      <c r="K68" s="3" t="e">
        <f>VLOOKUP(A68,LookupLists!$I$3:$L$60,4,FALSE)</f>
        <v>#N/A</v>
      </c>
      <c r="L68" s="3" t="e">
        <f>VLOOKUP(C68,LookupLists!$A$3:$G$60,1,FALSE)</f>
        <v>#N/A</v>
      </c>
      <c r="M68" s="3" t="e">
        <f>VLOOKUP(C68,LookupLists!$A$3:$G$60,4,FALSE)</f>
        <v>#N/A</v>
      </c>
      <c r="N68" s="3" t="e">
        <f>VLOOKUP(C68,LookupLists!$A$3:$G$60,2,FALSE)</f>
        <v>#N/A</v>
      </c>
      <c r="O68" s="3" t="e">
        <f>VLOOKUP(C68,LookupLists!$A$3:$G$60,3,FALSE)</f>
        <v>#N/A</v>
      </c>
      <c r="P68" s="3" t="e">
        <f>VLOOKUP(C68,LookupLists!$A$3:$G$60,5,FALSE)</f>
        <v>#N/A</v>
      </c>
      <c r="Q68" s="3" t="e">
        <f>VLOOKUP(C68,LookupLists!$A$3:$G$60,6,FALSE)</f>
        <v>#N/A</v>
      </c>
      <c r="R68" s="4" t="e">
        <f>VLOOKUP(C68,LookupLists!$A$3:$G$60,7,FALSE)</f>
        <v>#N/A</v>
      </c>
      <c r="S68" s="3" t="e">
        <f>VLOOKUP(D68,LookupLists!$N$4:$T$60,1,FALSE)</f>
        <v>#N/A</v>
      </c>
      <c r="T68" s="3" t="e">
        <f>VLOOKUP(D68,LookupLists!$N$4:$T$60,2,FALSE)</f>
        <v>#N/A</v>
      </c>
      <c r="U68" s="3" t="e">
        <f>VLOOKUP(D68,LookupLists!$N$4:$T$60,3,FALSE)</f>
        <v>#N/A</v>
      </c>
      <c r="V68" s="3" t="e">
        <f>VLOOKUP(D68,LookupLists!$N$4:$T$60,5,FALSE)</f>
        <v>#N/A</v>
      </c>
    </row>
    <row r="69" spans="5:22" x14ac:dyDescent="0.3">
      <c r="E69" s="3" t="str">
        <f t="shared" si="0"/>
        <v/>
      </c>
      <c r="F69" s="3" t="str">
        <f xml:space="preserve"> IF(E69="","",  IFERROR(VLOOKUP(D69,LookupLists!$N$3:$T$60,6,FALSE)-LEN(E69),0))</f>
        <v/>
      </c>
      <c r="G69" s="3" t="str">
        <f>IF(E69="","",IFERROR(matches(E69,VLOOKUP(D69,LookupLists!$N$3:$T$60,7,FALSE)),FALSE))</f>
        <v/>
      </c>
      <c r="H69" s="3" t="e">
        <f>VLOOKUP(A69,LookupLists!$I$3:$L$60,1,FALSE)</f>
        <v>#N/A</v>
      </c>
      <c r="I69" s="3" t="e">
        <f>VLOOKUP(A69,LookupLists!$I$3:$L$60,2,FALSE)</f>
        <v>#N/A</v>
      </c>
      <c r="J69" s="3" t="e">
        <f>VLOOKUP(A69,LookupLists!$I$3:$L$60,3,FALSE)</f>
        <v>#N/A</v>
      </c>
      <c r="K69" s="3" t="e">
        <f>VLOOKUP(A69,LookupLists!$I$3:$L$60,4,FALSE)</f>
        <v>#N/A</v>
      </c>
      <c r="L69" s="3" t="e">
        <f>VLOOKUP(C69,LookupLists!$A$3:$G$60,1,FALSE)</f>
        <v>#N/A</v>
      </c>
      <c r="M69" s="3" t="e">
        <f>VLOOKUP(C69,LookupLists!$A$3:$G$60,4,FALSE)</f>
        <v>#N/A</v>
      </c>
      <c r="N69" s="3" t="e">
        <f>VLOOKUP(C69,LookupLists!$A$3:$G$60,2,FALSE)</f>
        <v>#N/A</v>
      </c>
      <c r="O69" s="3" t="e">
        <f>VLOOKUP(C69,LookupLists!$A$3:$G$60,3,FALSE)</f>
        <v>#N/A</v>
      </c>
      <c r="P69" s="3" t="e">
        <f>VLOOKUP(C69,LookupLists!$A$3:$G$60,5,FALSE)</f>
        <v>#N/A</v>
      </c>
      <c r="Q69" s="3" t="e">
        <f>VLOOKUP(C69,LookupLists!$A$3:$G$60,6,FALSE)</f>
        <v>#N/A</v>
      </c>
      <c r="R69" s="4" t="e">
        <f>VLOOKUP(C69,LookupLists!$A$3:$G$60,7,FALSE)</f>
        <v>#N/A</v>
      </c>
      <c r="S69" s="3" t="e">
        <f>VLOOKUP(D69,LookupLists!$N$4:$T$60,1,FALSE)</f>
        <v>#N/A</v>
      </c>
      <c r="T69" s="3" t="e">
        <f>VLOOKUP(D69,LookupLists!$N$4:$T$60,2,FALSE)</f>
        <v>#N/A</v>
      </c>
      <c r="U69" s="3" t="e">
        <f>VLOOKUP(D69,LookupLists!$N$4:$T$60,3,FALSE)</f>
        <v>#N/A</v>
      </c>
      <c r="V69" s="3" t="e">
        <f>VLOOKUP(D69,LookupLists!$N$4:$T$60,5,FALSE)</f>
        <v>#N/A</v>
      </c>
    </row>
    <row r="70" spans="5:22" x14ac:dyDescent="0.3">
      <c r="E70" s="3" t="str">
        <f t="shared" si="0"/>
        <v/>
      </c>
      <c r="F70" s="3" t="str">
        <f xml:space="preserve"> IF(E70="","",  IFERROR(VLOOKUP(D70,LookupLists!$N$3:$T$60,6,FALSE)-LEN(E70),0))</f>
        <v/>
      </c>
      <c r="G70" s="3" t="str">
        <f>IF(E70="","",IFERROR(matches(E70,VLOOKUP(D70,LookupLists!$N$3:$T$60,7,FALSE)),FALSE))</f>
        <v/>
      </c>
      <c r="H70" s="3" t="e">
        <f>VLOOKUP(A70,LookupLists!$I$3:$L$60,1,FALSE)</f>
        <v>#N/A</v>
      </c>
      <c r="I70" s="3" t="e">
        <f>VLOOKUP(A70,LookupLists!$I$3:$L$60,2,FALSE)</f>
        <v>#N/A</v>
      </c>
      <c r="J70" s="3" t="e">
        <f>VLOOKUP(A70,LookupLists!$I$3:$L$60,3,FALSE)</f>
        <v>#N/A</v>
      </c>
      <c r="K70" s="3" t="e">
        <f>VLOOKUP(A70,LookupLists!$I$3:$L$60,4,FALSE)</f>
        <v>#N/A</v>
      </c>
      <c r="L70" s="3" t="e">
        <f>VLOOKUP(C70,LookupLists!$A$3:$G$60,1,FALSE)</f>
        <v>#N/A</v>
      </c>
      <c r="M70" s="3" t="e">
        <f>VLOOKUP(C70,LookupLists!$A$3:$G$60,4,FALSE)</f>
        <v>#N/A</v>
      </c>
      <c r="N70" s="3" t="e">
        <f>VLOOKUP(C70,LookupLists!$A$3:$G$60,2,FALSE)</f>
        <v>#N/A</v>
      </c>
      <c r="O70" s="3" t="e">
        <f>VLOOKUP(C70,LookupLists!$A$3:$G$60,3,FALSE)</f>
        <v>#N/A</v>
      </c>
      <c r="P70" s="3" t="e">
        <f>VLOOKUP(C70,LookupLists!$A$3:$G$60,5,FALSE)</f>
        <v>#N/A</v>
      </c>
      <c r="Q70" s="3" t="e">
        <f>VLOOKUP(C70,LookupLists!$A$3:$G$60,6,FALSE)</f>
        <v>#N/A</v>
      </c>
      <c r="R70" s="4" t="e">
        <f>VLOOKUP(C70,LookupLists!$A$3:$G$60,7,FALSE)</f>
        <v>#N/A</v>
      </c>
      <c r="S70" s="3" t="e">
        <f>VLOOKUP(D70,LookupLists!$N$4:$T$60,1,FALSE)</f>
        <v>#N/A</v>
      </c>
      <c r="T70" s="3" t="e">
        <f>VLOOKUP(D70,LookupLists!$N$4:$T$60,2,FALSE)</f>
        <v>#N/A</v>
      </c>
      <c r="U70" s="3" t="e">
        <f>VLOOKUP(D70,LookupLists!$N$4:$T$60,3,FALSE)</f>
        <v>#N/A</v>
      </c>
      <c r="V70" s="3" t="e">
        <f>VLOOKUP(D70,LookupLists!$N$4:$T$60,5,FALSE)</f>
        <v>#N/A</v>
      </c>
    </row>
    <row r="71" spans="5:22" x14ac:dyDescent="0.3">
      <c r="E71" s="3" t="str">
        <f t="shared" si="0"/>
        <v/>
      </c>
      <c r="F71" s="3" t="str">
        <f xml:space="preserve"> IF(E71="","",  IFERROR(VLOOKUP(D71,LookupLists!$N$3:$T$60,6,FALSE)-LEN(E71),0))</f>
        <v/>
      </c>
      <c r="G71" s="3" t="str">
        <f>IF(E71="","",IFERROR(matches(E71,VLOOKUP(D71,LookupLists!$N$3:$T$60,7,FALSE)),FALSE))</f>
        <v/>
      </c>
      <c r="H71" s="3" t="e">
        <f>VLOOKUP(A71,LookupLists!$I$3:$L$60,1,FALSE)</f>
        <v>#N/A</v>
      </c>
      <c r="I71" s="3" t="e">
        <f>VLOOKUP(A71,LookupLists!$I$3:$L$60,2,FALSE)</f>
        <v>#N/A</v>
      </c>
      <c r="J71" s="3" t="e">
        <f>VLOOKUP(A71,LookupLists!$I$3:$L$60,3,FALSE)</f>
        <v>#N/A</v>
      </c>
      <c r="K71" s="3" t="e">
        <f>VLOOKUP(A71,LookupLists!$I$3:$L$60,4,FALSE)</f>
        <v>#N/A</v>
      </c>
      <c r="L71" s="3" t="e">
        <f>VLOOKUP(C71,LookupLists!$A$3:$G$60,1,FALSE)</f>
        <v>#N/A</v>
      </c>
      <c r="M71" s="3" t="e">
        <f>VLOOKUP(C71,LookupLists!$A$3:$G$60,4,FALSE)</f>
        <v>#N/A</v>
      </c>
      <c r="N71" s="3" t="e">
        <f>VLOOKUP(C71,LookupLists!$A$3:$G$60,2,FALSE)</f>
        <v>#N/A</v>
      </c>
      <c r="O71" s="3" t="e">
        <f>VLOOKUP(C71,LookupLists!$A$3:$G$60,3,FALSE)</f>
        <v>#N/A</v>
      </c>
      <c r="P71" s="3" t="e">
        <f>VLOOKUP(C71,LookupLists!$A$3:$G$60,5,FALSE)</f>
        <v>#N/A</v>
      </c>
      <c r="Q71" s="3" t="e">
        <f>VLOOKUP(C71,LookupLists!$A$3:$G$60,6,FALSE)</f>
        <v>#N/A</v>
      </c>
      <c r="R71" s="4" t="e">
        <f>VLOOKUP(C71,LookupLists!$A$3:$G$60,7,FALSE)</f>
        <v>#N/A</v>
      </c>
      <c r="S71" s="3" t="e">
        <f>VLOOKUP(D71,LookupLists!$N$4:$T$60,1,FALSE)</f>
        <v>#N/A</v>
      </c>
      <c r="T71" s="3" t="e">
        <f>VLOOKUP(D71,LookupLists!$N$4:$T$60,2,FALSE)</f>
        <v>#N/A</v>
      </c>
      <c r="U71" s="3" t="e">
        <f>VLOOKUP(D71,LookupLists!$N$4:$T$60,3,FALSE)</f>
        <v>#N/A</v>
      </c>
      <c r="V71" s="3" t="e">
        <f>VLOOKUP(D71,LookupLists!$N$4:$T$60,5,FALSE)</f>
        <v>#N/A</v>
      </c>
    </row>
    <row r="72" spans="5:22" x14ac:dyDescent="0.3">
      <c r="E72" s="3" t="str">
        <f t="shared" ref="E72:E135" si="1">IFERROR(ComputeResourceName($B$3,$B$2,$B$1,B72,H72,I72,J72,K72,L72,N72,O72,M72,R72,S72,T72,U72,V72,0),"")</f>
        <v/>
      </c>
      <c r="F72" s="3" t="str">
        <f xml:space="preserve"> IF(E72="","",  IFERROR(VLOOKUP(D72,LookupLists!$N$3:$T$60,6,FALSE)-LEN(E72),0))</f>
        <v/>
      </c>
      <c r="G72" s="3" t="str">
        <f>IF(E72="","",IFERROR(matches(E72,VLOOKUP(D72,LookupLists!$N$3:$T$60,7,FALSE)),FALSE))</f>
        <v/>
      </c>
      <c r="H72" s="3" t="e">
        <f>VLOOKUP(A72,LookupLists!$I$3:$L$60,1,FALSE)</f>
        <v>#N/A</v>
      </c>
      <c r="I72" s="3" t="e">
        <f>VLOOKUP(A72,LookupLists!$I$3:$L$60,2,FALSE)</f>
        <v>#N/A</v>
      </c>
      <c r="J72" s="3" t="e">
        <f>VLOOKUP(A72,LookupLists!$I$3:$L$60,3,FALSE)</f>
        <v>#N/A</v>
      </c>
      <c r="K72" s="3" t="e">
        <f>VLOOKUP(A72,LookupLists!$I$3:$L$60,4,FALSE)</f>
        <v>#N/A</v>
      </c>
      <c r="L72" s="3" t="e">
        <f>VLOOKUP(C72,LookupLists!$A$3:$G$60,1,FALSE)</f>
        <v>#N/A</v>
      </c>
      <c r="M72" s="3" t="e">
        <f>VLOOKUP(C72,LookupLists!$A$3:$G$60,4,FALSE)</f>
        <v>#N/A</v>
      </c>
      <c r="N72" s="3" t="e">
        <f>VLOOKUP(C72,LookupLists!$A$3:$G$60,2,FALSE)</f>
        <v>#N/A</v>
      </c>
      <c r="O72" s="3" t="e">
        <f>VLOOKUP(C72,LookupLists!$A$3:$G$60,3,FALSE)</f>
        <v>#N/A</v>
      </c>
      <c r="P72" s="3" t="e">
        <f>VLOOKUP(C72,LookupLists!$A$3:$G$60,5,FALSE)</f>
        <v>#N/A</v>
      </c>
      <c r="Q72" s="3" t="e">
        <f>VLOOKUP(C72,LookupLists!$A$3:$G$60,6,FALSE)</f>
        <v>#N/A</v>
      </c>
      <c r="R72" s="4" t="e">
        <f>VLOOKUP(C72,LookupLists!$A$3:$G$60,7,FALSE)</f>
        <v>#N/A</v>
      </c>
      <c r="S72" s="3" t="e">
        <f>VLOOKUP(D72,LookupLists!$N$4:$T$60,1,FALSE)</f>
        <v>#N/A</v>
      </c>
      <c r="T72" s="3" t="e">
        <f>VLOOKUP(D72,LookupLists!$N$4:$T$60,2,FALSE)</f>
        <v>#N/A</v>
      </c>
      <c r="U72" s="3" t="e">
        <f>VLOOKUP(D72,LookupLists!$N$4:$T$60,3,FALSE)</f>
        <v>#N/A</v>
      </c>
      <c r="V72" s="3" t="e">
        <f>VLOOKUP(D72,LookupLists!$N$4:$T$60,5,FALSE)</f>
        <v>#N/A</v>
      </c>
    </row>
    <row r="73" spans="5:22" x14ac:dyDescent="0.3">
      <c r="E73" s="3" t="str">
        <f t="shared" si="1"/>
        <v/>
      </c>
      <c r="F73" s="3" t="str">
        <f xml:space="preserve"> IF(E73="","",  IFERROR(VLOOKUP(D73,LookupLists!$N$3:$T$60,6,FALSE)-LEN(E73),0))</f>
        <v/>
      </c>
      <c r="G73" s="3" t="str">
        <f>IF(E73="","",IFERROR(matches(E73,VLOOKUP(D73,LookupLists!$N$3:$T$60,7,FALSE)),FALSE))</f>
        <v/>
      </c>
      <c r="H73" s="3" t="e">
        <f>VLOOKUP(A73,LookupLists!$I$3:$L$60,1,FALSE)</f>
        <v>#N/A</v>
      </c>
      <c r="I73" s="3" t="e">
        <f>VLOOKUP(A73,LookupLists!$I$3:$L$60,2,FALSE)</f>
        <v>#N/A</v>
      </c>
      <c r="J73" s="3" t="e">
        <f>VLOOKUP(A73,LookupLists!$I$3:$L$60,3,FALSE)</f>
        <v>#N/A</v>
      </c>
      <c r="K73" s="3" t="e">
        <f>VLOOKUP(A73,LookupLists!$I$3:$L$60,4,FALSE)</f>
        <v>#N/A</v>
      </c>
      <c r="L73" s="3" t="e">
        <f>VLOOKUP(C73,LookupLists!$A$3:$G$60,1,FALSE)</f>
        <v>#N/A</v>
      </c>
      <c r="M73" s="3" t="e">
        <f>VLOOKUP(C73,LookupLists!$A$3:$G$60,4,FALSE)</f>
        <v>#N/A</v>
      </c>
      <c r="N73" s="3" t="e">
        <f>VLOOKUP(C73,LookupLists!$A$3:$G$60,2,FALSE)</f>
        <v>#N/A</v>
      </c>
      <c r="O73" s="3" t="e">
        <f>VLOOKUP(C73,LookupLists!$A$3:$G$60,3,FALSE)</f>
        <v>#N/A</v>
      </c>
      <c r="P73" s="3" t="e">
        <f>VLOOKUP(C73,LookupLists!$A$3:$G$60,5,FALSE)</f>
        <v>#N/A</v>
      </c>
      <c r="Q73" s="3" t="e">
        <f>VLOOKUP(C73,LookupLists!$A$3:$G$60,6,FALSE)</f>
        <v>#N/A</v>
      </c>
      <c r="R73" s="4" t="e">
        <f>VLOOKUP(C73,LookupLists!$A$3:$G$60,7,FALSE)</f>
        <v>#N/A</v>
      </c>
      <c r="S73" s="3" t="e">
        <f>VLOOKUP(D73,LookupLists!$N$4:$T$60,1,FALSE)</f>
        <v>#N/A</v>
      </c>
      <c r="T73" s="3" t="e">
        <f>VLOOKUP(D73,LookupLists!$N$4:$T$60,2,FALSE)</f>
        <v>#N/A</v>
      </c>
      <c r="U73" s="3" t="e">
        <f>VLOOKUP(D73,LookupLists!$N$4:$T$60,3,FALSE)</f>
        <v>#N/A</v>
      </c>
      <c r="V73" s="3" t="e">
        <f>VLOOKUP(D73,LookupLists!$N$4:$T$60,5,FALSE)</f>
        <v>#N/A</v>
      </c>
    </row>
    <row r="74" spans="5:22" x14ac:dyDescent="0.3">
      <c r="E74" s="3" t="str">
        <f t="shared" si="1"/>
        <v/>
      </c>
      <c r="F74" s="3" t="str">
        <f xml:space="preserve"> IF(E74="","",  IFERROR(VLOOKUP(D74,LookupLists!$N$3:$T$60,6,FALSE)-LEN(E74),0))</f>
        <v/>
      </c>
      <c r="G74" s="3" t="str">
        <f>IF(E74="","",IFERROR(matches(E74,VLOOKUP(D74,LookupLists!$N$3:$T$60,7,FALSE)),FALSE))</f>
        <v/>
      </c>
      <c r="H74" s="3" t="e">
        <f>VLOOKUP(A74,LookupLists!$I$3:$L$60,1,FALSE)</f>
        <v>#N/A</v>
      </c>
      <c r="I74" s="3" t="e">
        <f>VLOOKUP(A74,LookupLists!$I$3:$L$60,2,FALSE)</f>
        <v>#N/A</v>
      </c>
      <c r="J74" s="3" t="e">
        <f>VLOOKUP(A74,LookupLists!$I$3:$L$60,3,FALSE)</f>
        <v>#N/A</v>
      </c>
      <c r="K74" s="3" t="e">
        <f>VLOOKUP(A74,LookupLists!$I$3:$L$60,4,FALSE)</f>
        <v>#N/A</v>
      </c>
      <c r="L74" s="3" t="e">
        <f>VLOOKUP(C74,LookupLists!$A$3:$G$60,1,FALSE)</f>
        <v>#N/A</v>
      </c>
      <c r="M74" s="3" t="e">
        <f>VLOOKUP(C74,LookupLists!$A$3:$G$60,4,FALSE)</f>
        <v>#N/A</v>
      </c>
      <c r="N74" s="3" t="e">
        <f>VLOOKUP(C74,LookupLists!$A$3:$G$60,2,FALSE)</f>
        <v>#N/A</v>
      </c>
      <c r="O74" s="3" t="e">
        <f>VLOOKUP(C74,LookupLists!$A$3:$G$60,3,FALSE)</f>
        <v>#N/A</v>
      </c>
      <c r="P74" s="3" t="e">
        <f>VLOOKUP(C74,LookupLists!$A$3:$G$60,5,FALSE)</f>
        <v>#N/A</v>
      </c>
      <c r="Q74" s="3" t="e">
        <f>VLOOKUP(C74,LookupLists!$A$3:$G$60,6,FALSE)</f>
        <v>#N/A</v>
      </c>
      <c r="R74" s="4" t="e">
        <f>VLOOKUP(C74,LookupLists!$A$3:$G$60,7,FALSE)</f>
        <v>#N/A</v>
      </c>
      <c r="S74" s="3" t="e">
        <f>VLOOKUP(D74,LookupLists!$N$4:$T$60,1,FALSE)</f>
        <v>#N/A</v>
      </c>
      <c r="T74" s="3" t="e">
        <f>VLOOKUP(D74,LookupLists!$N$4:$T$60,2,FALSE)</f>
        <v>#N/A</v>
      </c>
      <c r="U74" s="3" t="e">
        <f>VLOOKUP(D74,LookupLists!$N$4:$T$60,3,FALSE)</f>
        <v>#N/A</v>
      </c>
      <c r="V74" s="3" t="e">
        <f>VLOOKUP(D74,LookupLists!$N$4:$T$60,5,FALSE)</f>
        <v>#N/A</v>
      </c>
    </row>
    <row r="75" spans="5:22" x14ac:dyDescent="0.3">
      <c r="E75" s="3" t="str">
        <f t="shared" si="1"/>
        <v/>
      </c>
      <c r="F75" s="3" t="str">
        <f xml:space="preserve"> IF(E75="","",  IFERROR(VLOOKUP(D75,LookupLists!$N$3:$T$60,6,FALSE)-LEN(E75),0))</f>
        <v/>
      </c>
      <c r="G75" s="3" t="str">
        <f>IF(E75="","",IFERROR(matches(E75,VLOOKUP(D75,LookupLists!$N$3:$T$60,7,FALSE)),FALSE))</f>
        <v/>
      </c>
      <c r="H75" s="3" t="e">
        <f>VLOOKUP(A75,LookupLists!$I$3:$L$60,1,FALSE)</f>
        <v>#N/A</v>
      </c>
      <c r="I75" s="3" t="e">
        <f>VLOOKUP(A75,LookupLists!$I$3:$L$60,2,FALSE)</f>
        <v>#N/A</v>
      </c>
      <c r="J75" s="3" t="e">
        <f>VLOOKUP(A75,LookupLists!$I$3:$L$60,3,FALSE)</f>
        <v>#N/A</v>
      </c>
      <c r="K75" s="3" t="e">
        <f>VLOOKUP(A75,LookupLists!$I$3:$L$60,4,FALSE)</f>
        <v>#N/A</v>
      </c>
      <c r="L75" s="3" t="e">
        <f>VLOOKUP(C75,LookupLists!$A$3:$G$60,1,FALSE)</f>
        <v>#N/A</v>
      </c>
      <c r="M75" s="3" t="e">
        <f>VLOOKUP(C75,LookupLists!$A$3:$G$60,4,FALSE)</f>
        <v>#N/A</v>
      </c>
      <c r="N75" s="3" t="e">
        <f>VLOOKUP(C75,LookupLists!$A$3:$G$60,2,FALSE)</f>
        <v>#N/A</v>
      </c>
      <c r="O75" s="3" t="e">
        <f>VLOOKUP(C75,LookupLists!$A$3:$G$60,3,FALSE)</f>
        <v>#N/A</v>
      </c>
      <c r="P75" s="3" t="e">
        <f>VLOOKUP(C75,LookupLists!$A$3:$G$60,5,FALSE)</f>
        <v>#N/A</v>
      </c>
      <c r="Q75" s="3" t="e">
        <f>VLOOKUP(C75,LookupLists!$A$3:$G$60,6,FALSE)</f>
        <v>#N/A</v>
      </c>
      <c r="R75" s="4" t="e">
        <f>VLOOKUP(C75,LookupLists!$A$3:$G$60,7,FALSE)</f>
        <v>#N/A</v>
      </c>
      <c r="S75" s="3" t="e">
        <f>VLOOKUP(D75,LookupLists!$N$4:$T$60,1,FALSE)</f>
        <v>#N/A</v>
      </c>
      <c r="T75" s="3" t="e">
        <f>VLOOKUP(D75,LookupLists!$N$4:$T$60,2,FALSE)</f>
        <v>#N/A</v>
      </c>
      <c r="U75" s="3" t="e">
        <f>VLOOKUP(D75,LookupLists!$N$4:$T$60,3,FALSE)</f>
        <v>#N/A</v>
      </c>
      <c r="V75" s="3" t="e">
        <f>VLOOKUP(D75,LookupLists!$N$4:$T$60,5,FALSE)</f>
        <v>#N/A</v>
      </c>
    </row>
    <row r="76" spans="5:22" x14ac:dyDescent="0.3">
      <c r="E76" s="3" t="str">
        <f t="shared" si="1"/>
        <v/>
      </c>
      <c r="F76" s="3" t="str">
        <f xml:space="preserve"> IF(E76="","",  IFERROR(VLOOKUP(D76,LookupLists!$N$3:$T$60,6,FALSE)-LEN(E76),0))</f>
        <v/>
      </c>
      <c r="G76" s="3" t="str">
        <f>IF(E76="","",IFERROR(matches(E76,VLOOKUP(D76,LookupLists!$N$3:$T$60,7,FALSE)),FALSE))</f>
        <v/>
      </c>
      <c r="H76" s="3" t="e">
        <f>VLOOKUP(A76,LookupLists!$I$3:$L$60,1,FALSE)</f>
        <v>#N/A</v>
      </c>
      <c r="I76" s="3" t="e">
        <f>VLOOKUP(A76,LookupLists!$I$3:$L$60,2,FALSE)</f>
        <v>#N/A</v>
      </c>
      <c r="J76" s="3" t="e">
        <f>VLOOKUP(A76,LookupLists!$I$3:$L$60,3,FALSE)</f>
        <v>#N/A</v>
      </c>
      <c r="K76" s="3" t="e">
        <f>VLOOKUP(A76,LookupLists!$I$3:$L$60,4,FALSE)</f>
        <v>#N/A</v>
      </c>
      <c r="L76" s="3" t="e">
        <f>VLOOKUP(C76,LookupLists!$A$3:$G$60,1,FALSE)</f>
        <v>#N/A</v>
      </c>
      <c r="M76" s="3" t="e">
        <f>VLOOKUP(C76,LookupLists!$A$3:$G$60,4,FALSE)</f>
        <v>#N/A</v>
      </c>
      <c r="N76" s="3" t="e">
        <f>VLOOKUP(C76,LookupLists!$A$3:$G$60,2,FALSE)</f>
        <v>#N/A</v>
      </c>
      <c r="O76" s="3" t="e">
        <f>VLOOKUP(C76,LookupLists!$A$3:$G$60,3,FALSE)</f>
        <v>#N/A</v>
      </c>
      <c r="P76" s="3" t="e">
        <f>VLOOKUP(C76,LookupLists!$A$3:$G$60,5,FALSE)</f>
        <v>#N/A</v>
      </c>
      <c r="Q76" s="3" t="e">
        <f>VLOOKUP(C76,LookupLists!$A$3:$G$60,6,FALSE)</f>
        <v>#N/A</v>
      </c>
      <c r="R76" s="4" t="e">
        <f>VLOOKUP(C76,LookupLists!$A$3:$G$60,7,FALSE)</f>
        <v>#N/A</v>
      </c>
      <c r="S76" s="3" t="e">
        <f>VLOOKUP(D76,LookupLists!$N$4:$T$60,1,FALSE)</f>
        <v>#N/A</v>
      </c>
      <c r="T76" s="3" t="e">
        <f>VLOOKUP(D76,LookupLists!$N$4:$T$60,2,FALSE)</f>
        <v>#N/A</v>
      </c>
      <c r="U76" s="3" t="e">
        <f>VLOOKUP(D76,LookupLists!$N$4:$T$60,3,FALSE)</f>
        <v>#N/A</v>
      </c>
      <c r="V76" s="3" t="e">
        <f>VLOOKUP(D76,LookupLists!$N$4:$T$60,5,FALSE)</f>
        <v>#N/A</v>
      </c>
    </row>
    <row r="77" spans="5:22" x14ac:dyDescent="0.3">
      <c r="E77" s="3" t="str">
        <f t="shared" si="1"/>
        <v/>
      </c>
      <c r="F77" s="3" t="str">
        <f xml:space="preserve"> IF(E77="","",  IFERROR(VLOOKUP(D77,LookupLists!$N$3:$T$60,6,FALSE)-LEN(E77),0))</f>
        <v/>
      </c>
      <c r="G77" s="3" t="str">
        <f>IF(E77="","",IFERROR(matches(E77,VLOOKUP(D77,LookupLists!$N$3:$T$60,7,FALSE)),FALSE))</f>
        <v/>
      </c>
      <c r="H77" s="3" t="e">
        <f>VLOOKUP(A77,LookupLists!$I$3:$L$60,1,FALSE)</f>
        <v>#N/A</v>
      </c>
      <c r="I77" s="3" t="e">
        <f>VLOOKUP(A77,LookupLists!$I$3:$L$60,2,FALSE)</f>
        <v>#N/A</v>
      </c>
      <c r="J77" s="3" t="e">
        <f>VLOOKUP(A77,LookupLists!$I$3:$L$60,3,FALSE)</f>
        <v>#N/A</v>
      </c>
      <c r="K77" s="3" t="e">
        <f>VLOOKUP(A77,LookupLists!$I$3:$L$60,4,FALSE)</f>
        <v>#N/A</v>
      </c>
      <c r="L77" s="3" t="e">
        <f>VLOOKUP(C77,LookupLists!$A$3:$G$60,1,FALSE)</f>
        <v>#N/A</v>
      </c>
      <c r="M77" s="3" t="e">
        <f>VLOOKUP(C77,LookupLists!$A$3:$G$60,4,FALSE)</f>
        <v>#N/A</v>
      </c>
      <c r="N77" s="3" t="e">
        <f>VLOOKUP(C77,LookupLists!$A$3:$G$60,2,FALSE)</f>
        <v>#N/A</v>
      </c>
      <c r="O77" s="3" t="e">
        <f>VLOOKUP(C77,LookupLists!$A$3:$G$60,3,FALSE)</f>
        <v>#N/A</v>
      </c>
      <c r="P77" s="3" t="e">
        <f>VLOOKUP(C77,LookupLists!$A$3:$G$60,5,FALSE)</f>
        <v>#N/A</v>
      </c>
      <c r="Q77" s="3" t="e">
        <f>VLOOKUP(C77,LookupLists!$A$3:$G$60,6,FALSE)</f>
        <v>#N/A</v>
      </c>
      <c r="R77" s="4" t="e">
        <f>VLOOKUP(C77,LookupLists!$A$3:$G$60,7,FALSE)</f>
        <v>#N/A</v>
      </c>
      <c r="S77" s="3" t="e">
        <f>VLOOKUP(D77,LookupLists!$N$4:$T$60,1,FALSE)</f>
        <v>#N/A</v>
      </c>
      <c r="T77" s="3" t="e">
        <f>VLOOKUP(D77,LookupLists!$N$4:$T$60,2,FALSE)</f>
        <v>#N/A</v>
      </c>
      <c r="U77" s="3" t="e">
        <f>VLOOKUP(D77,LookupLists!$N$4:$T$60,3,FALSE)</f>
        <v>#N/A</v>
      </c>
      <c r="V77" s="3" t="e">
        <f>VLOOKUP(D77,LookupLists!$N$4:$T$60,5,FALSE)</f>
        <v>#N/A</v>
      </c>
    </row>
    <row r="78" spans="5:22" x14ac:dyDescent="0.3">
      <c r="E78" s="3" t="str">
        <f t="shared" si="1"/>
        <v/>
      </c>
      <c r="F78" s="3" t="str">
        <f xml:space="preserve"> IF(E78="","",  IFERROR(VLOOKUP(D78,LookupLists!$N$3:$T$60,6,FALSE)-LEN(E78),0))</f>
        <v/>
      </c>
      <c r="G78" s="3" t="str">
        <f>IF(E78="","",IFERROR(matches(E78,VLOOKUP(D78,LookupLists!$N$3:$T$60,7,FALSE)),FALSE))</f>
        <v/>
      </c>
      <c r="H78" s="3" t="e">
        <f>VLOOKUP(A78,LookupLists!$I$3:$L$60,1,FALSE)</f>
        <v>#N/A</v>
      </c>
      <c r="I78" s="3" t="e">
        <f>VLOOKUP(A78,LookupLists!$I$3:$L$60,2,FALSE)</f>
        <v>#N/A</v>
      </c>
      <c r="J78" s="3" t="e">
        <f>VLOOKUP(A78,LookupLists!$I$3:$L$60,3,FALSE)</f>
        <v>#N/A</v>
      </c>
      <c r="K78" s="3" t="e">
        <f>VLOOKUP(A78,LookupLists!$I$3:$L$60,4,FALSE)</f>
        <v>#N/A</v>
      </c>
      <c r="L78" s="3" t="e">
        <f>VLOOKUP(C78,LookupLists!$A$3:$G$60,1,FALSE)</f>
        <v>#N/A</v>
      </c>
      <c r="M78" s="3" t="e">
        <f>VLOOKUP(C78,LookupLists!$A$3:$G$60,4,FALSE)</f>
        <v>#N/A</v>
      </c>
      <c r="N78" s="3" t="e">
        <f>VLOOKUP(C78,LookupLists!$A$3:$G$60,2,FALSE)</f>
        <v>#N/A</v>
      </c>
      <c r="O78" s="3" t="e">
        <f>VLOOKUP(C78,LookupLists!$A$3:$G$60,3,FALSE)</f>
        <v>#N/A</v>
      </c>
      <c r="P78" s="3" t="e">
        <f>VLOOKUP(C78,LookupLists!$A$3:$G$60,5,FALSE)</f>
        <v>#N/A</v>
      </c>
      <c r="Q78" s="3" t="e">
        <f>VLOOKUP(C78,LookupLists!$A$3:$G$60,6,FALSE)</f>
        <v>#N/A</v>
      </c>
      <c r="R78" s="4" t="e">
        <f>VLOOKUP(C78,LookupLists!$A$3:$G$60,7,FALSE)</f>
        <v>#N/A</v>
      </c>
      <c r="S78" s="3" t="e">
        <f>VLOOKUP(D78,LookupLists!$N$4:$T$60,1,FALSE)</f>
        <v>#N/A</v>
      </c>
      <c r="T78" s="3" t="e">
        <f>VLOOKUP(D78,LookupLists!$N$4:$T$60,2,FALSE)</f>
        <v>#N/A</v>
      </c>
      <c r="U78" s="3" t="e">
        <f>VLOOKUP(D78,LookupLists!$N$4:$T$60,3,FALSE)</f>
        <v>#N/A</v>
      </c>
      <c r="V78" s="3" t="e">
        <f>VLOOKUP(D78,LookupLists!$N$4:$T$60,5,FALSE)</f>
        <v>#N/A</v>
      </c>
    </row>
    <row r="79" spans="5:22" x14ac:dyDescent="0.3">
      <c r="E79" s="3" t="str">
        <f t="shared" si="1"/>
        <v/>
      </c>
      <c r="F79" s="3" t="str">
        <f xml:space="preserve"> IF(E79="","",  IFERROR(VLOOKUP(D79,LookupLists!$N$3:$T$60,6,FALSE)-LEN(E79),0))</f>
        <v/>
      </c>
      <c r="G79" s="3" t="str">
        <f>IF(E79="","",IFERROR(matches(E79,VLOOKUP(D79,LookupLists!$N$3:$T$60,7,FALSE)),FALSE))</f>
        <v/>
      </c>
      <c r="H79" s="3" t="e">
        <f>VLOOKUP(A79,LookupLists!$I$3:$L$60,1,FALSE)</f>
        <v>#N/A</v>
      </c>
      <c r="I79" s="3" t="e">
        <f>VLOOKUP(A79,LookupLists!$I$3:$L$60,2,FALSE)</f>
        <v>#N/A</v>
      </c>
      <c r="J79" s="3" t="e">
        <f>VLOOKUP(A79,LookupLists!$I$3:$L$60,3,FALSE)</f>
        <v>#N/A</v>
      </c>
      <c r="K79" s="3" t="e">
        <f>VLOOKUP(A79,LookupLists!$I$3:$L$60,4,FALSE)</f>
        <v>#N/A</v>
      </c>
      <c r="L79" s="3" t="e">
        <f>VLOOKUP(C79,LookupLists!$A$3:$G$60,1,FALSE)</f>
        <v>#N/A</v>
      </c>
      <c r="M79" s="3" t="e">
        <f>VLOOKUP(C79,LookupLists!$A$3:$G$60,4,FALSE)</f>
        <v>#N/A</v>
      </c>
      <c r="N79" s="3" t="e">
        <f>VLOOKUP(C79,LookupLists!$A$3:$G$60,2,FALSE)</f>
        <v>#N/A</v>
      </c>
      <c r="O79" s="3" t="e">
        <f>VLOOKUP(C79,LookupLists!$A$3:$G$60,3,FALSE)</f>
        <v>#N/A</v>
      </c>
      <c r="P79" s="3" t="e">
        <f>VLOOKUP(C79,LookupLists!$A$3:$G$60,5,FALSE)</f>
        <v>#N/A</v>
      </c>
      <c r="Q79" s="3" t="e">
        <f>VLOOKUP(C79,LookupLists!$A$3:$G$60,6,FALSE)</f>
        <v>#N/A</v>
      </c>
      <c r="R79" s="4" t="e">
        <f>VLOOKUP(C79,LookupLists!$A$3:$G$60,7,FALSE)</f>
        <v>#N/A</v>
      </c>
      <c r="S79" s="3" t="e">
        <f>VLOOKUP(D79,LookupLists!$N$4:$T$60,1,FALSE)</f>
        <v>#N/A</v>
      </c>
      <c r="T79" s="3" t="e">
        <f>VLOOKUP(D79,LookupLists!$N$4:$T$60,2,FALSE)</f>
        <v>#N/A</v>
      </c>
      <c r="U79" s="3" t="e">
        <f>VLOOKUP(D79,LookupLists!$N$4:$T$60,3,FALSE)</f>
        <v>#N/A</v>
      </c>
      <c r="V79" s="3" t="e">
        <f>VLOOKUP(D79,LookupLists!$N$4:$T$60,5,FALSE)</f>
        <v>#N/A</v>
      </c>
    </row>
    <row r="80" spans="5:22" x14ac:dyDescent="0.3">
      <c r="E80" s="3" t="str">
        <f t="shared" si="1"/>
        <v/>
      </c>
      <c r="F80" s="3" t="str">
        <f xml:space="preserve"> IF(E80="","",  IFERROR(VLOOKUP(D80,LookupLists!$N$3:$T$60,6,FALSE)-LEN(E80),0))</f>
        <v/>
      </c>
      <c r="G80" s="3" t="str">
        <f>IF(E80="","",IFERROR(matches(E80,VLOOKUP(D80,LookupLists!$N$3:$T$60,7,FALSE)),FALSE))</f>
        <v/>
      </c>
      <c r="H80" s="3" t="e">
        <f>VLOOKUP(A80,LookupLists!$I$3:$L$60,1,FALSE)</f>
        <v>#N/A</v>
      </c>
      <c r="I80" s="3" t="e">
        <f>VLOOKUP(A80,LookupLists!$I$3:$L$60,2,FALSE)</f>
        <v>#N/A</v>
      </c>
      <c r="J80" s="3" t="e">
        <f>VLOOKUP(A80,LookupLists!$I$3:$L$60,3,FALSE)</f>
        <v>#N/A</v>
      </c>
      <c r="K80" s="3" t="e">
        <f>VLOOKUP(A80,LookupLists!$I$3:$L$60,4,FALSE)</f>
        <v>#N/A</v>
      </c>
      <c r="L80" s="3" t="e">
        <f>VLOOKUP(C80,LookupLists!$A$3:$G$60,1,FALSE)</f>
        <v>#N/A</v>
      </c>
      <c r="M80" s="3" t="e">
        <f>VLOOKUP(C80,LookupLists!$A$3:$G$60,4,FALSE)</f>
        <v>#N/A</v>
      </c>
      <c r="N80" s="3" t="e">
        <f>VLOOKUP(C80,LookupLists!$A$3:$G$60,2,FALSE)</f>
        <v>#N/A</v>
      </c>
      <c r="O80" s="3" t="e">
        <f>VLOOKUP(C80,LookupLists!$A$3:$G$60,3,FALSE)</f>
        <v>#N/A</v>
      </c>
      <c r="P80" s="3" t="e">
        <f>VLOOKUP(C80,LookupLists!$A$3:$G$60,5,FALSE)</f>
        <v>#N/A</v>
      </c>
      <c r="Q80" s="3" t="e">
        <f>VLOOKUP(C80,LookupLists!$A$3:$G$60,6,FALSE)</f>
        <v>#N/A</v>
      </c>
      <c r="R80" s="4" t="e">
        <f>VLOOKUP(C80,LookupLists!$A$3:$G$60,7,FALSE)</f>
        <v>#N/A</v>
      </c>
      <c r="S80" s="3" t="e">
        <f>VLOOKUP(D80,LookupLists!$N$4:$T$60,1,FALSE)</f>
        <v>#N/A</v>
      </c>
      <c r="T80" s="3" t="e">
        <f>VLOOKUP(D80,LookupLists!$N$4:$T$60,2,FALSE)</f>
        <v>#N/A</v>
      </c>
      <c r="U80" s="3" t="e">
        <f>VLOOKUP(D80,LookupLists!$N$4:$T$60,3,FALSE)</f>
        <v>#N/A</v>
      </c>
      <c r="V80" s="3" t="e">
        <f>VLOOKUP(D80,LookupLists!$N$4:$T$60,5,FALSE)</f>
        <v>#N/A</v>
      </c>
    </row>
    <row r="81" spans="5:22" x14ac:dyDescent="0.3">
      <c r="E81" s="3" t="str">
        <f t="shared" si="1"/>
        <v/>
      </c>
      <c r="F81" s="3" t="str">
        <f xml:space="preserve"> IF(E81="","",  IFERROR(VLOOKUP(D81,LookupLists!$N$3:$T$60,6,FALSE)-LEN(E81),0))</f>
        <v/>
      </c>
      <c r="G81" s="3" t="str">
        <f>IF(E81="","",IFERROR(matches(E81,VLOOKUP(D81,LookupLists!$N$3:$T$60,7,FALSE)),FALSE))</f>
        <v/>
      </c>
      <c r="H81" s="3" t="e">
        <f>VLOOKUP(A81,LookupLists!$I$3:$L$60,1,FALSE)</f>
        <v>#N/A</v>
      </c>
      <c r="I81" s="3" t="e">
        <f>VLOOKUP(A81,LookupLists!$I$3:$L$60,2,FALSE)</f>
        <v>#N/A</v>
      </c>
      <c r="J81" s="3" t="e">
        <f>VLOOKUP(A81,LookupLists!$I$3:$L$60,3,FALSE)</f>
        <v>#N/A</v>
      </c>
      <c r="K81" s="3" t="e">
        <f>VLOOKUP(A81,LookupLists!$I$3:$L$60,4,FALSE)</f>
        <v>#N/A</v>
      </c>
      <c r="L81" s="3" t="e">
        <f>VLOOKUP(C81,LookupLists!$A$3:$G$60,1,FALSE)</f>
        <v>#N/A</v>
      </c>
      <c r="M81" s="3" t="e">
        <f>VLOOKUP(C81,LookupLists!$A$3:$G$60,4,FALSE)</f>
        <v>#N/A</v>
      </c>
      <c r="N81" s="3" t="e">
        <f>VLOOKUP(C81,LookupLists!$A$3:$G$60,2,FALSE)</f>
        <v>#N/A</v>
      </c>
      <c r="O81" s="3" t="e">
        <f>VLOOKUP(C81,LookupLists!$A$3:$G$60,3,FALSE)</f>
        <v>#N/A</v>
      </c>
      <c r="P81" s="3" t="e">
        <f>VLOOKUP(C81,LookupLists!$A$3:$G$60,5,FALSE)</f>
        <v>#N/A</v>
      </c>
      <c r="Q81" s="3" t="e">
        <f>VLOOKUP(C81,LookupLists!$A$3:$G$60,6,FALSE)</f>
        <v>#N/A</v>
      </c>
      <c r="R81" s="4" t="e">
        <f>VLOOKUP(C81,LookupLists!$A$3:$G$60,7,FALSE)</f>
        <v>#N/A</v>
      </c>
      <c r="S81" s="3" t="e">
        <f>VLOOKUP(D81,LookupLists!$N$4:$T$60,1,FALSE)</f>
        <v>#N/A</v>
      </c>
      <c r="T81" s="3" t="e">
        <f>VLOOKUP(D81,LookupLists!$N$4:$T$60,2,FALSE)</f>
        <v>#N/A</v>
      </c>
      <c r="U81" s="3" t="e">
        <f>VLOOKUP(D81,LookupLists!$N$4:$T$60,3,FALSE)</f>
        <v>#N/A</v>
      </c>
      <c r="V81" s="3" t="e">
        <f>VLOOKUP(D81,LookupLists!$N$4:$T$60,5,FALSE)</f>
        <v>#N/A</v>
      </c>
    </row>
    <row r="82" spans="5:22" x14ac:dyDescent="0.3">
      <c r="E82" s="3" t="str">
        <f t="shared" si="1"/>
        <v/>
      </c>
      <c r="F82" s="3" t="str">
        <f xml:space="preserve"> IF(E82="","",  IFERROR(VLOOKUP(D82,LookupLists!$N$3:$T$60,6,FALSE)-LEN(E82),0))</f>
        <v/>
      </c>
      <c r="G82" s="3" t="str">
        <f>IF(E82="","",IFERROR(matches(E82,VLOOKUP(D82,LookupLists!$N$3:$T$60,7,FALSE)),FALSE))</f>
        <v/>
      </c>
      <c r="H82" s="3" t="e">
        <f>VLOOKUP(A82,LookupLists!$I$3:$L$60,1,FALSE)</f>
        <v>#N/A</v>
      </c>
      <c r="I82" s="3" t="e">
        <f>VLOOKUP(A82,LookupLists!$I$3:$L$60,2,FALSE)</f>
        <v>#N/A</v>
      </c>
      <c r="J82" s="3" t="e">
        <f>VLOOKUP(A82,LookupLists!$I$3:$L$60,3,FALSE)</f>
        <v>#N/A</v>
      </c>
      <c r="K82" s="3" t="e">
        <f>VLOOKUP(A82,LookupLists!$I$3:$L$60,4,FALSE)</f>
        <v>#N/A</v>
      </c>
      <c r="L82" s="3" t="e">
        <f>VLOOKUP(C82,LookupLists!$A$3:$G$60,1,FALSE)</f>
        <v>#N/A</v>
      </c>
      <c r="M82" s="3" t="e">
        <f>VLOOKUP(C82,LookupLists!$A$3:$G$60,4,FALSE)</f>
        <v>#N/A</v>
      </c>
      <c r="N82" s="3" t="e">
        <f>VLOOKUP(C82,LookupLists!$A$3:$G$60,2,FALSE)</f>
        <v>#N/A</v>
      </c>
      <c r="O82" s="3" t="e">
        <f>VLOOKUP(C82,LookupLists!$A$3:$G$60,3,FALSE)</f>
        <v>#N/A</v>
      </c>
      <c r="P82" s="3" t="e">
        <f>VLOOKUP(C82,LookupLists!$A$3:$G$60,5,FALSE)</f>
        <v>#N/A</v>
      </c>
      <c r="Q82" s="3" t="e">
        <f>VLOOKUP(C82,LookupLists!$A$3:$G$60,6,FALSE)</f>
        <v>#N/A</v>
      </c>
      <c r="R82" s="4" t="e">
        <f>VLOOKUP(C82,LookupLists!$A$3:$G$60,7,FALSE)</f>
        <v>#N/A</v>
      </c>
      <c r="S82" s="3" t="e">
        <f>VLOOKUP(D82,LookupLists!$N$4:$T$60,1,FALSE)</f>
        <v>#N/A</v>
      </c>
      <c r="T82" s="3" t="e">
        <f>VLOOKUP(D82,LookupLists!$N$4:$T$60,2,FALSE)</f>
        <v>#N/A</v>
      </c>
      <c r="U82" s="3" t="e">
        <f>VLOOKUP(D82,LookupLists!$N$4:$T$60,3,FALSE)</f>
        <v>#N/A</v>
      </c>
      <c r="V82" s="3" t="e">
        <f>VLOOKUP(D82,LookupLists!$N$4:$T$60,5,FALSE)</f>
        <v>#N/A</v>
      </c>
    </row>
    <row r="83" spans="5:22" x14ac:dyDescent="0.3">
      <c r="E83" s="3" t="str">
        <f t="shared" si="1"/>
        <v/>
      </c>
      <c r="F83" s="3" t="str">
        <f xml:space="preserve"> IF(E83="","",  IFERROR(VLOOKUP(D83,LookupLists!$N$3:$T$60,6,FALSE)-LEN(E83),0))</f>
        <v/>
      </c>
      <c r="G83" s="3" t="str">
        <f>IF(E83="","",IFERROR(matches(E83,VLOOKUP(D83,LookupLists!$N$3:$T$60,7,FALSE)),FALSE))</f>
        <v/>
      </c>
      <c r="H83" s="3" t="e">
        <f>VLOOKUP(A83,LookupLists!$I$3:$L$60,1,FALSE)</f>
        <v>#N/A</v>
      </c>
      <c r="I83" s="3" t="e">
        <f>VLOOKUP(A83,LookupLists!$I$3:$L$60,2,FALSE)</f>
        <v>#N/A</v>
      </c>
      <c r="J83" s="3" t="e">
        <f>VLOOKUP(A83,LookupLists!$I$3:$L$60,3,FALSE)</f>
        <v>#N/A</v>
      </c>
      <c r="K83" s="3" t="e">
        <f>VLOOKUP(A83,LookupLists!$I$3:$L$60,4,FALSE)</f>
        <v>#N/A</v>
      </c>
      <c r="L83" s="3" t="e">
        <f>VLOOKUP(C83,LookupLists!$A$3:$G$60,1,FALSE)</f>
        <v>#N/A</v>
      </c>
      <c r="M83" s="3" t="e">
        <f>VLOOKUP(C83,LookupLists!$A$3:$G$60,4,FALSE)</f>
        <v>#N/A</v>
      </c>
      <c r="N83" s="3" t="e">
        <f>VLOOKUP(C83,LookupLists!$A$3:$G$60,2,FALSE)</f>
        <v>#N/A</v>
      </c>
      <c r="O83" s="3" t="e">
        <f>VLOOKUP(C83,LookupLists!$A$3:$G$60,3,FALSE)</f>
        <v>#N/A</v>
      </c>
      <c r="P83" s="3" t="e">
        <f>VLOOKUP(C83,LookupLists!$A$3:$G$60,5,FALSE)</f>
        <v>#N/A</v>
      </c>
      <c r="Q83" s="3" t="e">
        <f>VLOOKUP(C83,LookupLists!$A$3:$G$60,6,FALSE)</f>
        <v>#N/A</v>
      </c>
      <c r="R83" s="4" t="e">
        <f>VLOOKUP(C83,LookupLists!$A$3:$G$60,7,FALSE)</f>
        <v>#N/A</v>
      </c>
      <c r="S83" s="3" t="e">
        <f>VLOOKUP(D83,LookupLists!$N$4:$T$60,1,FALSE)</f>
        <v>#N/A</v>
      </c>
      <c r="T83" s="3" t="e">
        <f>VLOOKUP(D83,LookupLists!$N$4:$T$60,2,FALSE)</f>
        <v>#N/A</v>
      </c>
      <c r="U83" s="3" t="e">
        <f>VLOOKUP(D83,LookupLists!$N$4:$T$60,3,FALSE)</f>
        <v>#N/A</v>
      </c>
      <c r="V83" s="3" t="e">
        <f>VLOOKUP(D83,LookupLists!$N$4:$T$60,5,FALSE)</f>
        <v>#N/A</v>
      </c>
    </row>
    <row r="84" spans="5:22" x14ac:dyDescent="0.3">
      <c r="E84" s="3" t="str">
        <f t="shared" si="1"/>
        <v/>
      </c>
      <c r="F84" s="3" t="str">
        <f xml:space="preserve"> IF(E84="","",  IFERROR(VLOOKUP(D84,LookupLists!$N$3:$T$60,6,FALSE)-LEN(E84),0))</f>
        <v/>
      </c>
      <c r="G84" s="3" t="str">
        <f>IF(E84="","",IFERROR(matches(E84,VLOOKUP(D84,LookupLists!$N$3:$T$60,7,FALSE)),FALSE))</f>
        <v/>
      </c>
      <c r="H84" s="3" t="e">
        <f>VLOOKUP(A84,LookupLists!$I$3:$L$60,1,FALSE)</f>
        <v>#N/A</v>
      </c>
      <c r="I84" s="3" t="e">
        <f>VLOOKUP(A84,LookupLists!$I$3:$L$60,2,FALSE)</f>
        <v>#N/A</v>
      </c>
      <c r="J84" s="3" t="e">
        <f>VLOOKUP(A84,LookupLists!$I$3:$L$60,3,FALSE)</f>
        <v>#N/A</v>
      </c>
      <c r="K84" s="3" t="e">
        <f>VLOOKUP(A84,LookupLists!$I$3:$L$60,4,FALSE)</f>
        <v>#N/A</v>
      </c>
      <c r="L84" s="3" t="e">
        <f>VLOOKUP(C84,LookupLists!$A$3:$G$60,1,FALSE)</f>
        <v>#N/A</v>
      </c>
      <c r="M84" s="3" t="e">
        <f>VLOOKUP(C84,LookupLists!$A$3:$G$60,4,FALSE)</f>
        <v>#N/A</v>
      </c>
      <c r="N84" s="3" t="e">
        <f>VLOOKUP(C84,LookupLists!$A$3:$G$60,2,FALSE)</f>
        <v>#N/A</v>
      </c>
      <c r="O84" s="3" t="e">
        <f>VLOOKUP(C84,LookupLists!$A$3:$G$60,3,FALSE)</f>
        <v>#N/A</v>
      </c>
      <c r="P84" s="3" t="e">
        <f>VLOOKUP(C84,LookupLists!$A$3:$G$60,5,FALSE)</f>
        <v>#N/A</v>
      </c>
      <c r="Q84" s="3" t="e">
        <f>VLOOKUP(C84,LookupLists!$A$3:$G$60,6,FALSE)</f>
        <v>#N/A</v>
      </c>
      <c r="R84" s="4" t="e">
        <f>VLOOKUP(C84,LookupLists!$A$3:$G$60,7,FALSE)</f>
        <v>#N/A</v>
      </c>
      <c r="S84" s="3" t="e">
        <f>VLOOKUP(D84,LookupLists!$N$4:$T$60,1,FALSE)</f>
        <v>#N/A</v>
      </c>
      <c r="T84" s="3" t="e">
        <f>VLOOKUP(D84,LookupLists!$N$4:$T$60,2,FALSE)</f>
        <v>#N/A</v>
      </c>
      <c r="U84" s="3" t="e">
        <f>VLOOKUP(D84,LookupLists!$N$4:$T$60,3,FALSE)</f>
        <v>#N/A</v>
      </c>
      <c r="V84" s="3" t="e">
        <f>VLOOKUP(D84,LookupLists!$N$4:$T$60,5,FALSE)</f>
        <v>#N/A</v>
      </c>
    </row>
    <row r="85" spans="5:22" x14ac:dyDescent="0.3">
      <c r="E85" s="3" t="str">
        <f t="shared" si="1"/>
        <v/>
      </c>
      <c r="F85" s="3" t="str">
        <f xml:space="preserve"> IF(E85="","",  IFERROR(VLOOKUP(D85,LookupLists!$N$3:$T$60,6,FALSE)-LEN(E85),0))</f>
        <v/>
      </c>
      <c r="G85" s="3" t="str">
        <f>IF(E85="","",IFERROR(matches(E85,VLOOKUP(D85,LookupLists!$N$3:$T$60,7,FALSE)),FALSE))</f>
        <v/>
      </c>
      <c r="H85" s="3" t="e">
        <f>VLOOKUP(A85,LookupLists!$I$3:$L$60,1,FALSE)</f>
        <v>#N/A</v>
      </c>
      <c r="I85" s="3" t="e">
        <f>VLOOKUP(A85,LookupLists!$I$3:$L$60,2,FALSE)</f>
        <v>#N/A</v>
      </c>
      <c r="J85" s="3" t="e">
        <f>VLOOKUP(A85,LookupLists!$I$3:$L$60,3,FALSE)</f>
        <v>#N/A</v>
      </c>
      <c r="K85" s="3" t="e">
        <f>VLOOKUP(A85,LookupLists!$I$3:$L$60,4,FALSE)</f>
        <v>#N/A</v>
      </c>
      <c r="L85" s="3" t="e">
        <f>VLOOKUP(C85,LookupLists!$A$3:$G$60,1,FALSE)</f>
        <v>#N/A</v>
      </c>
      <c r="M85" s="3" t="e">
        <f>VLOOKUP(C85,LookupLists!$A$3:$G$60,4,FALSE)</f>
        <v>#N/A</v>
      </c>
      <c r="N85" s="3" t="e">
        <f>VLOOKUP(C85,LookupLists!$A$3:$G$60,2,FALSE)</f>
        <v>#N/A</v>
      </c>
      <c r="O85" s="3" t="e">
        <f>VLOOKUP(C85,LookupLists!$A$3:$G$60,3,FALSE)</f>
        <v>#N/A</v>
      </c>
      <c r="P85" s="3" t="e">
        <f>VLOOKUP(C85,LookupLists!$A$3:$G$60,5,FALSE)</f>
        <v>#N/A</v>
      </c>
      <c r="Q85" s="3" t="e">
        <f>VLOOKUP(C85,LookupLists!$A$3:$G$60,6,FALSE)</f>
        <v>#N/A</v>
      </c>
      <c r="R85" s="4" t="e">
        <f>VLOOKUP(C85,LookupLists!$A$3:$G$60,7,FALSE)</f>
        <v>#N/A</v>
      </c>
      <c r="S85" s="3" t="e">
        <f>VLOOKUP(D85,LookupLists!$N$4:$T$60,1,FALSE)</f>
        <v>#N/A</v>
      </c>
      <c r="T85" s="3" t="e">
        <f>VLOOKUP(D85,LookupLists!$N$4:$T$60,2,FALSE)</f>
        <v>#N/A</v>
      </c>
      <c r="U85" s="3" t="e">
        <f>VLOOKUP(D85,LookupLists!$N$4:$T$60,3,FALSE)</f>
        <v>#N/A</v>
      </c>
      <c r="V85" s="3" t="e">
        <f>VLOOKUP(D85,LookupLists!$N$4:$T$60,5,FALSE)</f>
        <v>#N/A</v>
      </c>
    </row>
    <row r="86" spans="5:22" x14ac:dyDescent="0.3">
      <c r="E86" s="3" t="str">
        <f t="shared" si="1"/>
        <v/>
      </c>
      <c r="F86" s="3" t="str">
        <f xml:space="preserve"> IF(E86="","",  IFERROR(VLOOKUP(D86,LookupLists!$N$3:$T$60,6,FALSE)-LEN(E86),0))</f>
        <v/>
      </c>
      <c r="G86" s="3" t="str">
        <f>IF(E86="","",IFERROR(matches(E86,VLOOKUP(D86,LookupLists!$N$3:$T$60,7,FALSE)),FALSE))</f>
        <v/>
      </c>
      <c r="H86" s="3" t="e">
        <f>VLOOKUP(A86,LookupLists!$I$3:$L$60,1,FALSE)</f>
        <v>#N/A</v>
      </c>
      <c r="I86" s="3" t="e">
        <f>VLOOKUP(A86,LookupLists!$I$3:$L$60,2,FALSE)</f>
        <v>#N/A</v>
      </c>
      <c r="J86" s="3" t="e">
        <f>VLOOKUP(A86,LookupLists!$I$3:$L$60,3,FALSE)</f>
        <v>#N/A</v>
      </c>
      <c r="K86" s="3" t="e">
        <f>VLOOKUP(A86,LookupLists!$I$3:$L$60,4,FALSE)</f>
        <v>#N/A</v>
      </c>
      <c r="L86" s="3" t="e">
        <f>VLOOKUP(C86,LookupLists!$A$3:$G$60,1,FALSE)</f>
        <v>#N/A</v>
      </c>
      <c r="M86" s="3" t="e">
        <f>VLOOKUP(C86,LookupLists!$A$3:$G$60,4,FALSE)</f>
        <v>#N/A</v>
      </c>
      <c r="N86" s="3" t="e">
        <f>VLOOKUP(C86,LookupLists!$A$3:$G$60,2,FALSE)</f>
        <v>#N/A</v>
      </c>
      <c r="O86" s="3" t="e">
        <f>VLOOKUP(C86,LookupLists!$A$3:$G$60,3,FALSE)</f>
        <v>#N/A</v>
      </c>
      <c r="P86" s="3" t="e">
        <f>VLOOKUP(C86,LookupLists!$A$3:$G$60,5,FALSE)</f>
        <v>#N/A</v>
      </c>
      <c r="Q86" s="3" t="e">
        <f>VLOOKUP(C86,LookupLists!$A$3:$G$60,6,FALSE)</f>
        <v>#N/A</v>
      </c>
      <c r="R86" s="4" t="e">
        <f>VLOOKUP(C86,LookupLists!$A$3:$G$60,7,FALSE)</f>
        <v>#N/A</v>
      </c>
      <c r="S86" s="3" t="e">
        <f>VLOOKUP(D86,LookupLists!$N$4:$T$60,1,FALSE)</f>
        <v>#N/A</v>
      </c>
      <c r="T86" s="3" t="e">
        <f>VLOOKUP(D86,LookupLists!$N$4:$T$60,2,FALSE)</f>
        <v>#N/A</v>
      </c>
      <c r="U86" s="3" t="e">
        <f>VLOOKUP(D86,LookupLists!$N$4:$T$60,3,FALSE)</f>
        <v>#N/A</v>
      </c>
      <c r="V86" s="3" t="e">
        <f>VLOOKUP(D86,LookupLists!$N$4:$T$60,5,FALSE)</f>
        <v>#N/A</v>
      </c>
    </row>
    <row r="87" spans="5:22" x14ac:dyDescent="0.3">
      <c r="E87" s="3" t="str">
        <f t="shared" si="1"/>
        <v/>
      </c>
      <c r="F87" s="3" t="str">
        <f xml:space="preserve"> IF(E87="","",  IFERROR(VLOOKUP(D87,LookupLists!$N$3:$T$60,6,FALSE)-LEN(E87),0))</f>
        <v/>
      </c>
      <c r="G87" s="3" t="str">
        <f>IF(E87="","",IFERROR(matches(E87,VLOOKUP(D87,LookupLists!$N$3:$T$60,7,FALSE)),FALSE))</f>
        <v/>
      </c>
      <c r="H87" s="3" t="e">
        <f>VLOOKUP(A87,LookupLists!$I$3:$L$60,1,FALSE)</f>
        <v>#N/A</v>
      </c>
      <c r="I87" s="3" t="e">
        <f>VLOOKUP(A87,LookupLists!$I$3:$L$60,2,FALSE)</f>
        <v>#N/A</v>
      </c>
      <c r="J87" s="3" t="e">
        <f>VLOOKUP(A87,LookupLists!$I$3:$L$60,3,FALSE)</f>
        <v>#N/A</v>
      </c>
      <c r="K87" s="3" t="e">
        <f>VLOOKUP(A87,LookupLists!$I$3:$L$60,4,FALSE)</f>
        <v>#N/A</v>
      </c>
      <c r="L87" s="3" t="e">
        <f>VLOOKUP(C87,LookupLists!$A$3:$G$60,1,FALSE)</f>
        <v>#N/A</v>
      </c>
      <c r="M87" s="3" t="e">
        <f>VLOOKUP(C87,LookupLists!$A$3:$G$60,4,FALSE)</f>
        <v>#N/A</v>
      </c>
      <c r="N87" s="3" t="e">
        <f>VLOOKUP(C87,LookupLists!$A$3:$G$60,2,FALSE)</f>
        <v>#N/A</v>
      </c>
      <c r="O87" s="3" t="e">
        <f>VLOOKUP(C87,LookupLists!$A$3:$G$60,3,FALSE)</f>
        <v>#N/A</v>
      </c>
      <c r="P87" s="3" t="e">
        <f>VLOOKUP(C87,LookupLists!$A$3:$G$60,5,FALSE)</f>
        <v>#N/A</v>
      </c>
      <c r="Q87" s="3" t="e">
        <f>VLOOKUP(C87,LookupLists!$A$3:$G$60,6,FALSE)</f>
        <v>#N/A</v>
      </c>
      <c r="R87" s="4" t="e">
        <f>VLOOKUP(C87,LookupLists!$A$3:$G$60,7,FALSE)</f>
        <v>#N/A</v>
      </c>
      <c r="S87" s="3" t="e">
        <f>VLOOKUP(D87,LookupLists!$N$4:$T$60,1,FALSE)</f>
        <v>#N/A</v>
      </c>
      <c r="T87" s="3" t="e">
        <f>VLOOKUP(D87,LookupLists!$N$4:$T$60,2,FALSE)</f>
        <v>#N/A</v>
      </c>
      <c r="U87" s="3" t="e">
        <f>VLOOKUP(D87,LookupLists!$N$4:$T$60,3,FALSE)</f>
        <v>#N/A</v>
      </c>
      <c r="V87" s="3" t="e">
        <f>VLOOKUP(D87,LookupLists!$N$4:$T$60,5,FALSE)</f>
        <v>#N/A</v>
      </c>
    </row>
    <row r="88" spans="5:22" x14ac:dyDescent="0.3">
      <c r="E88" s="3" t="str">
        <f t="shared" si="1"/>
        <v/>
      </c>
      <c r="F88" s="3" t="str">
        <f xml:space="preserve"> IF(E88="","",  IFERROR(VLOOKUP(D88,LookupLists!$N$3:$T$60,6,FALSE)-LEN(E88),0))</f>
        <v/>
      </c>
      <c r="G88" s="3" t="str">
        <f>IF(E88="","",IFERROR(matches(E88,VLOOKUP(D88,LookupLists!$N$3:$T$60,7,FALSE)),FALSE))</f>
        <v/>
      </c>
      <c r="H88" s="3" t="e">
        <f>VLOOKUP(A88,LookupLists!$I$3:$L$60,1,FALSE)</f>
        <v>#N/A</v>
      </c>
      <c r="I88" s="3" t="e">
        <f>VLOOKUP(A88,LookupLists!$I$3:$L$60,2,FALSE)</f>
        <v>#N/A</v>
      </c>
      <c r="J88" s="3" t="e">
        <f>VLOOKUP(A88,LookupLists!$I$3:$L$60,3,FALSE)</f>
        <v>#N/A</v>
      </c>
      <c r="K88" s="3" t="e">
        <f>VLOOKUP(A88,LookupLists!$I$3:$L$60,4,FALSE)</f>
        <v>#N/A</v>
      </c>
      <c r="L88" s="3" t="e">
        <f>VLOOKUP(C88,LookupLists!$A$3:$G$60,1,FALSE)</f>
        <v>#N/A</v>
      </c>
      <c r="M88" s="3" t="e">
        <f>VLOOKUP(C88,LookupLists!$A$3:$G$60,4,FALSE)</f>
        <v>#N/A</v>
      </c>
      <c r="N88" s="3" t="e">
        <f>VLOOKUP(C88,LookupLists!$A$3:$G$60,2,FALSE)</f>
        <v>#N/A</v>
      </c>
      <c r="O88" s="3" t="e">
        <f>VLOOKUP(C88,LookupLists!$A$3:$G$60,3,FALSE)</f>
        <v>#N/A</v>
      </c>
      <c r="P88" s="3" t="e">
        <f>VLOOKUP(C88,LookupLists!$A$3:$G$60,5,FALSE)</f>
        <v>#N/A</v>
      </c>
      <c r="Q88" s="3" t="e">
        <f>VLOOKUP(C88,LookupLists!$A$3:$G$60,6,FALSE)</f>
        <v>#N/A</v>
      </c>
      <c r="R88" s="4" t="e">
        <f>VLOOKUP(C88,LookupLists!$A$3:$G$60,7,FALSE)</f>
        <v>#N/A</v>
      </c>
      <c r="S88" s="3" t="e">
        <f>VLOOKUP(D88,LookupLists!$N$4:$T$60,1,FALSE)</f>
        <v>#N/A</v>
      </c>
      <c r="T88" s="3" t="e">
        <f>VLOOKUP(D88,LookupLists!$N$4:$T$60,2,FALSE)</f>
        <v>#N/A</v>
      </c>
      <c r="U88" s="3" t="e">
        <f>VLOOKUP(D88,LookupLists!$N$4:$T$60,3,FALSE)</f>
        <v>#N/A</v>
      </c>
      <c r="V88" s="3" t="e">
        <f>VLOOKUP(D88,LookupLists!$N$4:$T$60,5,FALSE)</f>
        <v>#N/A</v>
      </c>
    </row>
    <row r="89" spans="5:22" x14ac:dyDescent="0.3">
      <c r="E89" s="3" t="str">
        <f t="shared" si="1"/>
        <v/>
      </c>
      <c r="F89" s="3" t="str">
        <f xml:space="preserve"> IF(E89="","",  IFERROR(VLOOKUP(D89,LookupLists!$N$3:$T$60,6,FALSE)-LEN(E89),0))</f>
        <v/>
      </c>
      <c r="G89" s="3" t="str">
        <f>IF(E89="","",IFERROR(matches(E89,VLOOKUP(D89,LookupLists!$N$3:$T$60,7,FALSE)),FALSE))</f>
        <v/>
      </c>
      <c r="H89" s="3" t="e">
        <f>VLOOKUP(A89,LookupLists!$I$3:$L$60,1,FALSE)</f>
        <v>#N/A</v>
      </c>
      <c r="I89" s="3" t="e">
        <f>VLOOKUP(A89,LookupLists!$I$3:$L$60,2,FALSE)</f>
        <v>#N/A</v>
      </c>
      <c r="J89" s="3" t="e">
        <f>VLOOKUP(A89,LookupLists!$I$3:$L$60,3,FALSE)</f>
        <v>#N/A</v>
      </c>
      <c r="K89" s="3" t="e">
        <f>VLOOKUP(A89,LookupLists!$I$3:$L$60,4,FALSE)</f>
        <v>#N/A</v>
      </c>
      <c r="L89" s="3" t="e">
        <f>VLOOKUP(C89,LookupLists!$A$3:$G$60,1,FALSE)</f>
        <v>#N/A</v>
      </c>
      <c r="M89" s="3" t="e">
        <f>VLOOKUP(C89,LookupLists!$A$3:$G$60,4,FALSE)</f>
        <v>#N/A</v>
      </c>
      <c r="N89" s="3" t="e">
        <f>VLOOKUP(C89,LookupLists!$A$3:$G$60,2,FALSE)</f>
        <v>#N/A</v>
      </c>
      <c r="O89" s="3" t="e">
        <f>VLOOKUP(C89,LookupLists!$A$3:$G$60,3,FALSE)</f>
        <v>#N/A</v>
      </c>
      <c r="P89" s="3" t="e">
        <f>VLOOKUP(C89,LookupLists!$A$3:$G$60,5,FALSE)</f>
        <v>#N/A</v>
      </c>
      <c r="Q89" s="3" t="e">
        <f>VLOOKUP(C89,LookupLists!$A$3:$G$60,6,FALSE)</f>
        <v>#N/A</v>
      </c>
      <c r="R89" s="4" t="e">
        <f>VLOOKUP(C89,LookupLists!$A$3:$G$60,7,FALSE)</f>
        <v>#N/A</v>
      </c>
      <c r="S89" s="3" t="e">
        <f>VLOOKUP(D89,LookupLists!$N$4:$T$60,1,FALSE)</f>
        <v>#N/A</v>
      </c>
      <c r="T89" s="3" t="e">
        <f>VLOOKUP(D89,LookupLists!$N$4:$T$60,2,FALSE)</f>
        <v>#N/A</v>
      </c>
      <c r="U89" s="3" t="e">
        <f>VLOOKUP(D89,LookupLists!$N$4:$T$60,3,FALSE)</f>
        <v>#N/A</v>
      </c>
      <c r="V89" s="3" t="e">
        <f>VLOOKUP(D89,LookupLists!$N$4:$T$60,5,FALSE)</f>
        <v>#N/A</v>
      </c>
    </row>
    <row r="90" spans="5:22" x14ac:dyDescent="0.3">
      <c r="E90" s="3" t="str">
        <f t="shared" si="1"/>
        <v/>
      </c>
      <c r="F90" s="3" t="str">
        <f xml:space="preserve"> IF(E90="","",  IFERROR(VLOOKUP(D90,LookupLists!$N$3:$T$60,6,FALSE)-LEN(E90),0))</f>
        <v/>
      </c>
      <c r="G90" s="3" t="str">
        <f>IF(E90="","",IFERROR(matches(E90,VLOOKUP(D90,LookupLists!$N$3:$T$60,7,FALSE)),FALSE))</f>
        <v/>
      </c>
      <c r="H90" s="3" t="e">
        <f>VLOOKUP(A90,LookupLists!$I$3:$L$60,1,FALSE)</f>
        <v>#N/A</v>
      </c>
      <c r="I90" s="3" t="e">
        <f>VLOOKUP(A90,LookupLists!$I$3:$L$60,2,FALSE)</f>
        <v>#N/A</v>
      </c>
      <c r="J90" s="3" t="e">
        <f>VLOOKUP(A90,LookupLists!$I$3:$L$60,3,FALSE)</f>
        <v>#N/A</v>
      </c>
      <c r="K90" s="3" t="e">
        <f>VLOOKUP(A90,LookupLists!$I$3:$L$60,4,FALSE)</f>
        <v>#N/A</v>
      </c>
      <c r="L90" s="3" t="e">
        <f>VLOOKUP(C90,LookupLists!$A$3:$G$60,1,FALSE)</f>
        <v>#N/A</v>
      </c>
      <c r="M90" s="3" t="e">
        <f>VLOOKUP(C90,LookupLists!$A$3:$G$60,4,FALSE)</f>
        <v>#N/A</v>
      </c>
      <c r="N90" s="3" t="e">
        <f>VLOOKUP(C90,LookupLists!$A$3:$G$60,2,FALSE)</f>
        <v>#N/A</v>
      </c>
      <c r="O90" s="3" t="e">
        <f>VLOOKUP(C90,LookupLists!$A$3:$G$60,3,FALSE)</f>
        <v>#N/A</v>
      </c>
      <c r="P90" s="3" t="e">
        <f>VLOOKUP(C90,LookupLists!$A$3:$G$60,5,FALSE)</f>
        <v>#N/A</v>
      </c>
      <c r="Q90" s="3" t="e">
        <f>VLOOKUP(C90,LookupLists!$A$3:$G$60,6,FALSE)</f>
        <v>#N/A</v>
      </c>
      <c r="R90" s="4" t="e">
        <f>VLOOKUP(C90,LookupLists!$A$3:$G$60,7,FALSE)</f>
        <v>#N/A</v>
      </c>
      <c r="S90" s="3" t="e">
        <f>VLOOKUP(D90,LookupLists!$N$4:$T$60,1,FALSE)</f>
        <v>#N/A</v>
      </c>
      <c r="T90" s="3" t="e">
        <f>VLOOKUP(D90,LookupLists!$N$4:$T$60,2,FALSE)</f>
        <v>#N/A</v>
      </c>
      <c r="U90" s="3" t="e">
        <f>VLOOKUP(D90,LookupLists!$N$4:$T$60,3,FALSE)</f>
        <v>#N/A</v>
      </c>
      <c r="V90" s="3" t="e">
        <f>VLOOKUP(D90,LookupLists!$N$4:$T$60,5,FALSE)</f>
        <v>#N/A</v>
      </c>
    </row>
    <row r="91" spans="5:22" x14ac:dyDescent="0.3">
      <c r="E91" s="3" t="str">
        <f t="shared" si="1"/>
        <v/>
      </c>
      <c r="F91" s="3" t="str">
        <f xml:space="preserve"> IF(E91="","",  IFERROR(VLOOKUP(D91,LookupLists!$N$3:$T$60,6,FALSE)-LEN(E91),0))</f>
        <v/>
      </c>
      <c r="G91" s="3" t="str">
        <f>IF(E91="","",IFERROR(matches(E91,VLOOKUP(D91,LookupLists!$N$3:$T$60,7,FALSE)),FALSE))</f>
        <v/>
      </c>
      <c r="H91" s="3" t="e">
        <f>VLOOKUP(A91,LookupLists!$I$3:$L$60,1,FALSE)</f>
        <v>#N/A</v>
      </c>
      <c r="I91" s="3" t="e">
        <f>VLOOKUP(A91,LookupLists!$I$3:$L$60,2,FALSE)</f>
        <v>#N/A</v>
      </c>
      <c r="J91" s="3" t="e">
        <f>VLOOKUP(A91,LookupLists!$I$3:$L$60,3,FALSE)</f>
        <v>#N/A</v>
      </c>
      <c r="K91" s="3" t="e">
        <f>VLOOKUP(A91,LookupLists!$I$3:$L$60,4,FALSE)</f>
        <v>#N/A</v>
      </c>
      <c r="L91" s="3" t="e">
        <f>VLOOKUP(C91,LookupLists!$A$3:$G$60,1,FALSE)</f>
        <v>#N/A</v>
      </c>
      <c r="M91" s="3" t="e">
        <f>VLOOKUP(C91,LookupLists!$A$3:$G$60,4,FALSE)</f>
        <v>#N/A</v>
      </c>
      <c r="N91" s="3" t="e">
        <f>VLOOKUP(C91,LookupLists!$A$3:$G$60,2,FALSE)</f>
        <v>#N/A</v>
      </c>
      <c r="O91" s="3" t="e">
        <f>VLOOKUP(C91,LookupLists!$A$3:$G$60,3,FALSE)</f>
        <v>#N/A</v>
      </c>
      <c r="P91" s="3" t="e">
        <f>VLOOKUP(C91,LookupLists!$A$3:$G$60,5,FALSE)</f>
        <v>#N/A</v>
      </c>
      <c r="Q91" s="3" t="e">
        <f>VLOOKUP(C91,LookupLists!$A$3:$G$60,6,FALSE)</f>
        <v>#N/A</v>
      </c>
      <c r="R91" s="4" t="e">
        <f>VLOOKUP(C91,LookupLists!$A$3:$G$60,7,FALSE)</f>
        <v>#N/A</v>
      </c>
      <c r="S91" s="3" t="e">
        <f>VLOOKUP(D91,LookupLists!$N$4:$T$60,1,FALSE)</f>
        <v>#N/A</v>
      </c>
      <c r="T91" s="3" t="e">
        <f>VLOOKUP(D91,LookupLists!$N$4:$T$60,2,FALSE)</f>
        <v>#N/A</v>
      </c>
      <c r="U91" s="3" t="e">
        <f>VLOOKUP(D91,LookupLists!$N$4:$T$60,3,FALSE)</f>
        <v>#N/A</v>
      </c>
      <c r="V91" s="3" t="e">
        <f>VLOOKUP(D91,LookupLists!$N$4:$T$60,5,FALSE)</f>
        <v>#N/A</v>
      </c>
    </row>
    <row r="92" spans="5:22" x14ac:dyDescent="0.3">
      <c r="E92" s="3" t="str">
        <f t="shared" si="1"/>
        <v/>
      </c>
      <c r="F92" s="3" t="str">
        <f xml:space="preserve"> IF(E92="","",  IFERROR(VLOOKUP(D92,LookupLists!$N$3:$T$60,6,FALSE)-LEN(E92),0))</f>
        <v/>
      </c>
      <c r="G92" s="3" t="str">
        <f>IF(E92="","",IFERROR(matches(E92,VLOOKUP(D92,LookupLists!$N$3:$T$60,7,FALSE)),FALSE))</f>
        <v/>
      </c>
      <c r="H92" s="3" t="e">
        <f>VLOOKUP(A92,LookupLists!$I$3:$L$60,1,FALSE)</f>
        <v>#N/A</v>
      </c>
      <c r="I92" s="3" t="e">
        <f>VLOOKUP(A92,LookupLists!$I$3:$L$60,2,FALSE)</f>
        <v>#N/A</v>
      </c>
      <c r="J92" s="3" t="e">
        <f>VLOOKUP(A92,LookupLists!$I$3:$L$60,3,FALSE)</f>
        <v>#N/A</v>
      </c>
      <c r="K92" s="3" t="e">
        <f>VLOOKUP(A92,LookupLists!$I$3:$L$60,4,FALSE)</f>
        <v>#N/A</v>
      </c>
      <c r="L92" s="3" t="e">
        <f>VLOOKUP(C92,LookupLists!$A$3:$G$60,1,FALSE)</f>
        <v>#N/A</v>
      </c>
      <c r="M92" s="3" t="e">
        <f>VLOOKUP(C92,LookupLists!$A$3:$G$60,4,FALSE)</f>
        <v>#N/A</v>
      </c>
      <c r="N92" s="3" t="e">
        <f>VLOOKUP(C92,LookupLists!$A$3:$G$60,2,FALSE)</f>
        <v>#N/A</v>
      </c>
      <c r="O92" s="3" t="e">
        <f>VLOOKUP(C92,LookupLists!$A$3:$G$60,3,FALSE)</f>
        <v>#N/A</v>
      </c>
      <c r="P92" s="3" t="e">
        <f>VLOOKUP(C92,LookupLists!$A$3:$G$60,5,FALSE)</f>
        <v>#N/A</v>
      </c>
      <c r="Q92" s="3" t="e">
        <f>VLOOKUP(C92,LookupLists!$A$3:$G$60,6,FALSE)</f>
        <v>#N/A</v>
      </c>
      <c r="R92" s="4" t="e">
        <f>VLOOKUP(C92,LookupLists!$A$3:$G$60,7,FALSE)</f>
        <v>#N/A</v>
      </c>
      <c r="S92" s="3" t="e">
        <f>VLOOKUP(D92,LookupLists!$N$4:$T$60,1,FALSE)</f>
        <v>#N/A</v>
      </c>
      <c r="T92" s="3" t="e">
        <f>VLOOKUP(D92,LookupLists!$N$4:$T$60,2,FALSE)</f>
        <v>#N/A</v>
      </c>
      <c r="U92" s="3" t="e">
        <f>VLOOKUP(D92,LookupLists!$N$4:$T$60,3,FALSE)</f>
        <v>#N/A</v>
      </c>
      <c r="V92" s="3" t="e">
        <f>VLOOKUP(D92,LookupLists!$N$4:$T$60,5,FALSE)</f>
        <v>#N/A</v>
      </c>
    </row>
    <row r="93" spans="5:22" x14ac:dyDescent="0.3">
      <c r="E93" s="3" t="str">
        <f t="shared" si="1"/>
        <v/>
      </c>
      <c r="F93" s="3" t="str">
        <f xml:space="preserve"> IF(E93="","",  IFERROR(VLOOKUP(D93,LookupLists!$N$3:$T$60,6,FALSE)-LEN(E93),0))</f>
        <v/>
      </c>
      <c r="G93" s="3" t="str">
        <f>IF(E93="","",IFERROR(matches(E93,VLOOKUP(D93,LookupLists!$N$3:$T$60,7,FALSE)),FALSE))</f>
        <v/>
      </c>
      <c r="H93" s="3" t="e">
        <f>VLOOKUP(A93,LookupLists!$I$3:$L$60,1,FALSE)</f>
        <v>#N/A</v>
      </c>
      <c r="I93" s="3" t="e">
        <f>VLOOKUP(A93,LookupLists!$I$3:$L$60,2,FALSE)</f>
        <v>#N/A</v>
      </c>
      <c r="J93" s="3" t="e">
        <f>VLOOKUP(A93,LookupLists!$I$3:$L$60,3,FALSE)</f>
        <v>#N/A</v>
      </c>
      <c r="K93" s="3" t="e">
        <f>VLOOKUP(A93,LookupLists!$I$3:$L$60,4,FALSE)</f>
        <v>#N/A</v>
      </c>
      <c r="L93" s="3" t="e">
        <f>VLOOKUP(C93,LookupLists!$A$3:$G$60,1,FALSE)</f>
        <v>#N/A</v>
      </c>
      <c r="M93" s="3" t="e">
        <f>VLOOKUP(C93,LookupLists!$A$3:$G$60,4,FALSE)</f>
        <v>#N/A</v>
      </c>
      <c r="N93" s="3" t="e">
        <f>VLOOKUP(C93,LookupLists!$A$3:$G$60,2,FALSE)</f>
        <v>#N/A</v>
      </c>
      <c r="O93" s="3" t="e">
        <f>VLOOKUP(C93,LookupLists!$A$3:$G$60,3,FALSE)</f>
        <v>#N/A</v>
      </c>
      <c r="P93" s="3" t="e">
        <f>VLOOKUP(C93,LookupLists!$A$3:$G$60,5,FALSE)</f>
        <v>#N/A</v>
      </c>
      <c r="Q93" s="3" t="e">
        <f>VLOOKUP(C93,LookupLists!$A$3:$G$60,6,FALSE)</f>
        <v>#N/A</v>
      </c>
      <c r="R93" s="4" t="e">
        <f>VLOOKUP(C93,LookupLists!$A$3:$G$60,7,FALSE)</f>
        <v>#N/A</v>
      </c>
      <c r="S93" s="3" t="e">
        <f>VLOOKUP(D93,LookupLists!$N$4:$T$60,1,FALSE)</f>
        <v>#N/A</v>
      </c>
      <c r="T93" s="3" t="e">
        <f>VLOOKUP(D93,LookupLists!$N$4:$T$60,2,FALSE)</f>
        <v>#N/A</v>
      </c>
      <c r="U93" s="3" t="e">
        <f>VLOOKUP(D93,LookupLists!$N$4:$T$60,3,FALSE)</f>
        <v>#N/A</v>
      </c>
      <c r="V93" s="3" t="e">
        <f>VLOOKUP(D93,LookupLists!$N$4:$T$60,5,FALSE)</f>
        <v>#N/A</v>
      </c>
    </row>
    <row r="94" spans="5:22" x14ac:dyDescent="0.3">
      <c r="E94" s="3" t="str">
        <f t="shared" si="1"/>
        <v/>
      </c>
      <c r="F94" s="3" t="str">
        <f xml:space="preserve"> IF(E94="","",  IFERROR(VLOOKUP(D94,LookupLists!$N$3:$T$60,6,FALSE)-LEN(E94),0))</f>
        <v/>
      </c>
      <c r="G94" s="3" t="str">
        <f>IF(E94="","",IFERROR(matches(E94,VLOOKUP(D94,LookupLists!$N$3:$T$60,7,FALSE)),FALSE))</f>
        <v/>
      </c>
      <c r="H94" s="3" t="e">
        <f>VLOOKUP(A94,LookupLists!$I$3:$L$60,1,FALSE)</f>
        <v>#N/A</v>
      </c>
      <c r="I94" s="3" t="e">
        <f>VLOOKUP(A94,LookupLists!$I$3:$L$60,2,FALSE)</f>
        <v>#N/A</v>
      </c>
      <c r="J94" s="3" t="e">
        <f>VLOOKUP(A94,LookupLists!$I$3:$L$60,3,FALSE)</f>
        <v>#N/A</v>
      </c>
      <c r="K94" s="3" t="e">
        <f>VLOOKUP(A94,LookupLists!$I$3:$L$60,4,FALSE)</f>
        <v>#N/A</v>
      </c>
      <c r="L94" s="3" t="e">
        <f>VLOOKUP(C94,LookupLists!$A$3:$G$60,1,FALSE)</f>
        <v>#N/A</v>
      </c>
      <c r="M94" s="3" t="e">
        <f>VLOOKUP(C94,LookupLists!$A$3:$G$60,4,FALSE)</f>
        <v>#N/A</v>
      </c>
      <c r="N94" s="3" t="e">
        <f>VLOOKUP(C94,LookupLists!$A$3:$G$60,2,FALSE)</f>
        <v>#N/A</v>
      </c>
      <c r="O94" s="3" t="e">
        <f>VLOOKUP(C94,LookupLists!$A$3:$G$60,3,FALSE)</f>
        <v>#N/A</v>
      </c>
      <c r="P94" s="3" t="e">
        <f>VLOOKUP(C94,LookupLists!$A$3:$G$60,5,FALSE)</f>
        <v>#N/A</v>
      </c>
      <c r="Q94" s="3" t="e">
        <f>VLOOKUP(C94,LookupLists!$A$3:$G$60,6,FALSE)</f>
        <v>#N/A</v>
      </c>
      <c r="R94" s="4" t="e">
        <f>VLOOKUP(C94,LookupLists!$A$3:$G$60,7,FALSE)</f>
        <v>#N/A</v>
      </c>
      <c r="S94" s="3" t="e">
        <f>VLOOKUP(D94,LookupLists!$N$4:$T$60,1,FALSE)</f>
        <v>#N/A</v>
      </c>
      <c r="T94" s="3" t="e">
        <f>VLOOKUP(D94,LookupLists!$N$4:$T$60,2,FALSE)</f>
        <v>#N/A</v>
      </c>
      <c r="U94" s="3" t="e">
        <f>VLOOKUP(D94,LookupLists!$N$4:$T$60,3,FALSE)</f>
        <v>#N/A</v>
      </c>
      <c r="V94" s="3" t="e">
        <f>VLOOKUP(D94,LookupLists!$N$4:$T$60,5,FALSE)</f>
        <v>#N/A</v>
      </c>
    </row>
    <row r="95" spans="5:22" x14ac:dyDescent="0.3">
      <c r="E95" s="3" t="str">
        <f t="shared" si="1"/>
        <v/>
      </c>
      <c r="F95" s="3" t="str">
        <f xml:space="preserve"> IF(E95="","",  IFERROR(VLOOKUP(D95,LookupLists!$N$3:$T$60,6,FALSE)-LEN(E95),0))</f>
        <v/>
      </c>
      <c r="G95" s="3" t="str">
        <f>IF(E95="","",IFERROR(matches(E95,VLOOKUP(D95,LookupLists!$N$3:$T$60,7,FALSE)),FALSE))</f>
        <v/>
      </c>
      <c r="H95" s="3" t="e">
        <f>VLOOKUP(A95,LookupLists!$I$3:$L$60,1,FALSE)</f>
        <v>#N/A</v>
      </c>
      <c r="I95" s="3" t="e">
        <f>VLOOKUP(A95,LookupLists!$I$3:$L$60,2,FALSE)</f>
        <v>#N/A</v>
      </c>
      <c r="J95" s="3" t="e">
        <f>VLOOKUP(A95,LookupLists!$I$3:$L$60,3,FALSE)</f>
        <v>#N/A</v>
      </c>
      <c r="K95" s="3" t="e">
        <f>VLOOKUP(A95,LookupLists!$I$3:$L$60,4,FALSE)</f>
        <v>#N/A</v>
      </c>
      <c r="L95" s="3" t="e">
        <f>VLOOKUP(C95,LookupLists!$A$3:$G$60,1,FALSE)</f>
        <v>#N/A</v>
      </c>
      <c r="M95" s="3" t="e">
        <f>VLOOKUP(C95,LookupLists!$A$3:$G$60,4,FALSE)</f>
        <v>#N/A</v>
      </c>
      <c r="N95" s="3" t="e">
        <f>VLOOKUP(C95,LookupLists!$A$3:$G$60,2,FALSE)</f>
        <v>#N/A</v>
      </c>
      <c r="O95" s="3" t="e">
        <f>VLOOKUP(C95,LookupLists!$A$3:$G$60,3,FALSE)</f>
        <v>#N/A</v>
      </c>
      <c r="P95" s="3" t="e">
        <f>VLOOKUP(C95,LookupLists!$A$3:$G$60,5,FALSE)</f>
        <v>#N/A</v>
      </c>
      <c r="Q95" s="3" t="e">
        <f>VLOOKUP(C95,LookupLists!$A$3:$G$60,6,FALSE)</f>
        <v>#N/A</v>
      </c>
      <c r="R95" s="4" t="e">
        <f>VLOOKUP(C95,LookupLists!$A$3:$G$60,7,FALSE)</f>
        <v>#N/A</v>
      </c>
      <c r="S95" s="3" t="e">
        <f>VLOOKUP(D95,LookupLists!$N$4:$T$60,1,FALSE)</f>
        <v>#N/A</v>
      </c>
      <c r="T95" s="3" t="e">
        <f>VLOOKUP(D95,LookupLists!$N$4:$T$60,2,FALSE)</f>
        <v>#N/A</v>
      </c>
      <c r="U95" s="3" t="e">
        <f>VLOOKUP(D95,LookupLists!$N$4:$T$60,3,FALSE)</f>
        <v>#N/A</v>
      </c>
      <c r="V95" s="3" t="e">
        <f>VLOOKUP(D95,LookupLists!$N$4:$T$60,5,FALSE)</f>
        <v>#N/A</v>
      </c>
    </row>
    <row r="96" spans="5:22" x14ac:dyDescent="0.3">
      <c r="E96" s="3" t="str">
        <f t="shared" si="1"/>
        <v/>
      </c>
      <c r="F96" s="3" t="str">
        <f xml:space="preserve"> IF(E96="","",  IFERROR(VLOOKUP(D96,LookupLists!$N$3:$T$60,6,FALSE)-LEN(E96),0))</f>
        <v/>
      </c>
      <c r="G96" s="3" t="str">
        <f>IF(E96="","",IFERROR(matches(E96,VLOOKUP(D96,LookupLists!$N$3:$T$60,7,FALSE)),FALSE))</f>
        <v/>
      </c>
      <c r="H96" s="3" t="e">
        <f>VLOOKUP(A96,LookupLists!$I$3:$L$60,1,FALSE)</f>
        <v>#N/A</v>
      </c>
      <c r="I96" s="3" t="e">
        <f>VLOOKUP(A96,LookupLists!$I$3:$L$60,2,FALSE)</f>
        <v>#N/A</v>
      </c>
      <c r="J96" s="3" t="e">
        <f>VLOOKUP(A96,LookupLists!$I$3:$L$60,3,FALSE)</f>
        <v>#N/A</v>
      </c>
      <c r="K96" s="3" t="e">
        <f>VLOOKUP(A96,LookupLists!$I$3:$L$60,4,FALSE)</f>
        <v>#N/A</v>
      </c>
      <c r="L96" s="3" t="e">
        <f>VLOOKUP(C96,LookupLists!$A$3:$G$60,1,FALSE)</f>
        <v>#N/A</v>
      </c>
      <c r="M96" s="3" t="e">
        <f>VLOOKUP(C96,LookupLists!$A$3:$G$60,4,FALSE)</f>
        <v>#N/A</v>
      </c>
      <c r="N96" s="3" t="e">
        <f>VLOOKUP(C96,LookupLists!$A$3:$G$60,2,FALSE)</f>
        <v>#N/A</v>
      </c>
      <c r="O96" s="3" t="e">
        <f>VLOOKUP(C96,LookupLists!$A$3:$G$60,3,FALSE)</f>
        <v>#N/A</v>
      </c>
      <c r="P96" s="3" t="e">
        <f>VLOOKUP(C96,LookupLists!$A$3:$G$60,5,FALSE)</f>
        <v>#N/A</v>
      </c>
      <c r="Q96" s="3" t="e">
        <f>VLOOKUP(C96,LookupLists!$A$3:$G$60,6,FALSE)</f>
        <v>#N/A</v>
      </c>
      <c r="R96" s="4" t="e">
        <f>VLOOKUP(C96,LookupLists!$A$3:$G$60,7,FALSE)</f>
        <v>#N/A</v>
      </c>
      <c r="S96" s="3" t="e">
        <f>VLOOKUP(D96,LookupLists!$N$4:$T$60,1,FALSE)</f>
        <v>#N/A</v>
      </c>
      <c r="T96" s="3" t="e">
        <f>VLOOKUP(D96,LookupLists!$N$4:$T$60,2,FALSE)</f>
        <v>#N/A</v>
      </c>
      <c r="U96" s="3" t="e">
        <f>VLOOKUP(D96,LookupLists!$N$4:$T$60,3,FALSE)</f>
        <v>#N/A</v>
      </c>
      <c r="V96" s="3" t="e">
        <f>VLOOKUP(D96,LookupLists!$N$4:$T$60,5,FALSE)</f>
        <v>#N/A</v>
      </c>
    </row>
    <row r="97" spans="5:22" x14ac:dyDescent="0.3">
      <c r="E97" s="3" t="str">
        <f t="shared" si="1"/>
        <v/>
      </c>
      <c r="F97" s="3" t="str">
        <f xml:space="preserve"> IF(E97="","",  IFERROR(VLOOKUP(D97,LookupLists!$N$3:$T$60,6,FALSE)-LEN(E97),0))</f>
        <v/>
      </c>
      <c r="G97" s="3" t="str">
        <f>IF(E97="","",IFERROR(matches(E97,VLOOKUP(D97,LookupLists!$N$3:$T$60,7,FALSE)),FALSE))</f>
        <v/>
      </c>
      <c r="H97" s="3" t="e">
        <f>VLOOKUP(A97,LookupLists!$I$3:$L$60,1,FALSE)</f>
        <v>#N/A</v>
      </c>
      <c r="I97" s="3" t="e">
        <f>VLOOKUP(A97,LookupLists!$I$3:$L$60,2,FALSE)</f>
        <v>#N/A</v>
      </c>
      <c r="J97" s="3" t="e">
        <f>VLOOKUP(A97,LookupLists!$I$3:$L$60,3,FALSE)</f>
        <v>#N/A</v>
      </c>
      <c r="K97" s="3" t="e">
        <f>VLOOKUP(A97,LookupLists!$I$3:$L$60,4,FALSE)</f>
        <v>#N/A</v>
      </c>
      <c r="L97" s="3" t="e">
        <f>VLOOKUP(C97,LookupLists!$A$3:$G$60,1,FALSE)</f>
        <v>#N/A</v>
      </c>
      <c r="M97" s="3" t="e">
        <f>VLOOKUP(C97,LookupLists!$A$3:$G$60,4,FALSE)</f>
        <v>#N/A</v>
      </c>
      <c r="N97" s="3" t="e">
        <f>VLOOKUP(C97,LookupLists!$A$3:$G$60,2,FALSE)</f>
        <v>#N/A</v>
      </c>
      <c r="O97" s="3" t="e">
        <f>VLOOKUP(C97,LookupLists!$A$3:$G$60,3,FALSE)</f>
        <v>#N/A</v>
      </c>
      <c r="P97" s="3" t="e">
        <f>VLOOKUP(C97,LookupLists!$A$3:$G$60,5,FALSE)</f>
        <v>#N/A</v>
      </c>
      <c r="Q97" s="3" t="e">
        <f>VLOOKUP(C97,LookupLists!$A$3:$G$60,6,FALSE)</f>
        <v>#N/A</v>
      </c>
      <c r="R97" s="4" t="e">
        <f>VLOOKUP(C97,LookupLists!$A$3:$G$60,7,FALSE)</f>
        <v>#N/A</v>
      </c>
      <c r="S97" s="3" t="e">
        <f>VLOOKUP(D97,LookupLists!$N$4:$T$60,1,FALSE)</f>
        <v>#N/A</v>
      </c>
      <c r="T97" s="3" t="e">
        <f>VLOOKUP(D97,LookupLists!$N$4:$T$60,2,FALSE)</f>
        <v>#N/A</v>
      </c>
      <c r="U97" s="3" t="e">
        <f>VLOOKUP(D97,LookupLists!$N$4:$T$60,3,FALSE)</f>
        <v>#N/A</v>
      </c>
      <c r="V97" s="3" t="e">
        <f>VLOOKUP(D97,LookupLists!$N$4:$T$60,5,FALSE)</f>
        <v>#N/A</v>
      </c>
    </row>
    <row r="98" spans="5:22" x14ac:dyDescent="0.3">
      <c r="E98" s="3" t="str">
        <f t="shared" si="1"/>
        <v/>
      </c>
      <c r="F98" s="3" t="str">
        <f xml:space="preserve"> IF(E98="","",  IFERROR(VLOOKUP(D98,LookupLists!$N$3:$T$60,6,FALSE)-LEN(E98),0))</f>
        <v/>
      </c>
      <c r="G98" s="3" t="str">
        <f>IF(E98="","",IFERROR(matches(E98,VLOOKUP(D98,LookupLists!$N$3:$T$60,7,FALSE)),FALSE))</f>
        <v/>
      </c>
      <c r="H98" s="3" t="e">
        <f>VLOOKUP(A98,LookupLists!$I$3:$L$60,1,FALSE)</f>
        <v>#N/A</v>
      </c>
      <c r="I98" s="3" t="e">
        <f>VLOOKUP(A98,LookupLists!$I$3:$L$60,2,FALSE)</f>
        <v>#N/A</v>
      </c>
      <c r="J98" s="3" t="e">
        <f>VLOOKUP(A98,LookupLists!$I$3:$L$60,3,FALSE)</f>
        <v>#N/A</v>
      </c>
      <c r="K98" s="3" t="e">
        <f>VLOOKUP(A98,LookupLists!$I$3:$L$60,4,FALSE)</f>
        <v>#N/A</v>
      </c>
      <c r="L98" s="3" t="e">
        <f>VLOOKUP(C98,LookupLists!$A$3:$G$60,1,FALSE)</f>
        <v>#N/A</v>
      </c>
      <c r="M98" s="3" t="e">
        <f>VLOOKUP(C98,LookupLists!$A$3:$G$60,4,FALSE)</f>
        <v>#N/A</v>
      </c>
      <c r="N98" s="3" t="e">
        <f>VLOOKUP(C98,LookupLists!$A$3:$G$60,2,FALSE)</f>
        <v>#N/A</v>
      </c>
      <c r="O98" s="3" t="e">
        <f>VLOOKUP(C98,LookupLists!$A$3:$G$60,3,FALSE)</f>
        <v>#N/A</v>
      </c>
      <c r="P98" s="3" t="e">
        <f>VLOOKUP(C98,LookupLists!$A$3:$G$60,5,FALSE)</f>
        <v>#N/A</v>
      </c>
      <c r="Q98" s="3" t="e">
        <f>VLOOKUP(C98,LookupLists!$A$3:$G$60,6,FALSE)</f>
        <v>#N/A</v>
      </c>
      <c r="R98" s="4" t="e">
        <f>VLOOKUP(C98,LookupLists!$A$3:$G$60,7,FALSE)</f>
        <v>#N/A</v>
      </c>
      <c r="S98" s="3" t="e">
        <f>VLOOKUP(D98,LookupLists!$N$4:$T$60,1,FALSE)</f>
        <v>#N/A</v>
      </c>
      <c r="T98" s="3" t="e">
        <f>VLOOKUP(D98,LookupLists!$N$4:$T$60,2,FALSE)</f>
        <v>#N/A</v>
      </c>
      <c r="U98" s="3" t="e">
        <f>VLOOKUP(D98,LookupLists!$N$4:$T$60,3,FALSE)</f>
        <v>#N/A</v>
      </c>
      <c r="V98" s="3" t="e">
        <f>VLOOKUP(D98,LookupLists!$N$4:$T$60,5,FALSE)</f>
        <v>#N/A</v>
      </c>
    </row>
    <row r="99" spans="5:22" x14ac:dyDescent="0.3">
      <c r="E99" s="3" t="str">
        <f t="shared" si="1"/>
        <v/>
      </c>
      <c r="F99" s="3" t="str">
        <f xml:space="preserve"> IF(E99="","",  IFERROR(VLOOKUP(D99,LookupLists!$N$3:$T$60,6,FALSE)-LEN(E99),0))</f>
        <v/>
      </c>
      <c r="G99" s="3" t="str">
        <f>IF(E99="","",IFERROR(matches(E99,VLOOKUP(D99,LookupLists!$N$3:$T$60,7,FALSE)),FALSE))</f>
        <v/>
      </c>
      <c r="H99" s="3" t="e">
        <f>VLOOKUP(A99,LookupLists!$I$3:$L$60,1,FALSE)</f>
        <v>#N/A</v>
      </c>
      <c r="I99" s="3" t="e">
        <f>VLOOKUP(A99,LookupLists!$I$3:$L$60,2,FALSE)</f>
        <v>#N/A</v>
      </c>
      <c r="J99" s="3" t="e">
        <f>VLOOKUP(A99,LookupLists!$I$3:$L$60,3,FALSE)</f>
        <v>#N/A</v>
      </c>
      <c r="K99" s="3" t="e">
        <f>VLOOKUP(A99,LookupLists!$I$3:$L$60,4,FALSE)</f>
        <v>#N/A</v>
      </c>
      <c r="L99" s="3" t="e">
        <f>VLOOKUP(C99,LookupLists!$A$3:$G$60,1,FALSE)</f>
        <v>#N/A</v>
      </c>
      <c r="M99" s="3" t="e">
        <f>VLOOKUP(C99,LookupLists!$A$3:$G$60,4,FALSE)</f>
        <v>#N/A</v>
      </c>
      <c r="N99" s="3" t="e">
        <f>VLOOKUP(C99,LookupLists!$A$3:$G$60,2,FALSE)</f>
        <v>#N/A</v>
      </c>
      <c r="O99" s="3" t="e">
        <f>VLOOKUP(C99,LookupLists!$A$3:$G$60,3,FALSE)</f>
        <v>#N/A</v>
      </c>
      <c r="P99" s="3" t="e">
        <f>VLOOKUP(C99,LookupLists!$A$3:$G$60,5,FALSE)</f>
        <v>#N/A</v>
      </c>
      <c r="Q99" s="3" t="e">
        <f>VLOOKUP(C99,LookupLists!$A$3:$G$60,6,FALSE)</f>
        <v>#N/A</v>
      </c>
      <c r="R99" s="4" t="e">
        <f>VLOOKUP(C99,LookupLists!$A$3:$G$60,7,FALSE)</f>
        <v>#N/A</v>
      </c>
      <c r="S99" s="3" t="e">
        <f>VLOOKUP(D99,LookupLists!$N$4:$T$60,1,FALSE)</f>
        <v>#N/A</v>
      </c>
      <c r="T99" s="3" t="e">
        <f>VLOOKUP(D99,LookupLists!$N$4:$T$60,2,FALSE)</f>
        <v>#N/A</v>
      </c>
      <c r="U99" s="3" t="e">
        <f>VLOOKUP(D99,LookupLists!$N$4:$T$60,3,FALSE)</f>
        <v>#N/A</v>
      </c>
      <c r="V99" s="3" t="e">
        <f>VLOOKUP(D99,LookupLists!$N$4:$T$60,5,FALSE)</f>
        <v>#N/A</v>
      </c>
    </row>
    <row r="100" spans="5:22" x14ac:dyDescent="0.3">
      <c r="E100" s="3" t="str">
        <f t="shared" si="1"/>
        <v/>
      </c>
      <c r="F100" s="3" t="str">
        <f xml:space="preserve"> IF(E100="","",  IFERROR(VLOOKUP(D100,LookupLists!$N$3:$T$60,6,FALSE)-LEN(E100),0))</f>
        <v/>
      </c>
      <c r="G100" s="3" t="str">
        <f>IF(E100="","",IFERROR(matches(E100,VLOOKUP(D100,LookupLists!$N$3:$T$60,7,FALSE)),FALSE))</f>
        <v/>
      </c>
      <c r="H100" s="3" t="e">
        <f>VLOOKUP(A100,LookupLists!$I$3:$L$60,1,FALSE)</f>
        <v>#N/A</v>
      </c>
      <c r="I100" s="3" t="e">
        <f>VLOOKUP(A100,LookupLists!$I$3:$L$60,2,FALSE)</f>
        <v>#N/A</v>
      </c>
      <c r="J100" s="3" t="e">
        <f>VLOOKUP(A100,LookupLists!$I$3:$L$60,3,FALSE)</f>
        <v>#N/A</v>
      </c>
      <c r="K100" s="3" t="e">
        <f>VLOOKUP(A100,LookupLists!$I$3:$L$60,4,FALSE)</f>
        <v>#N/A</v>
      </c>
      <c r="L100" s="3" t="e">
        <f>VLOOKUP(C100,LookupLists!$A$3:$G$60,1,FALSE)</f>
        <v>#N/A</v>
      </c>
      <c r="M100" s="3" t="e">
        <f>VLOOKUP(C100,LookupLists!$A$3:$G$60,4,FALSE)</f>
        <v>#N/A</v>
      </c>
      <c r="N100" s="3" t="e">
        <f>VLOOKUP(C100,LookupLists!$A$3:$G$60,2,FALSE)</f>
        <v>#N/A</v>
      </c>
      <c r="O100" s="3" t="e">
        <f>VLOOKUP(C100,LookupLists!$A$3:$G$60,3,FALSE)</f>
        <v>#N/A</v>
      </c>
      <c r="P100" s="3" t="e">
        <f>VLOOKUP(C100,LookupLists!$A$3:$G$60,5,FALSE)</f>
        <v>#N/A</v>
      </c>
      <c r="Q100" s="3" t="e">
        <f>VLOOKUP(C100,LookupLists!$A$3:$G$60,6,FALSE)</f>
        <v>#N/A</v>
      </c>
      <c r="R100" s="4" t="e">
        <f>VLOOKUP(C100,LookupLists!$A$3:$G$60,7,FALSE)</f>
        <v>#N/A</v>
      </c>
      <c r="S100" s="3" t="e">
        <f>VLOOKUP(D100,LookupLists!$N$4:$T$60,1,FALSE)</f>
        <v>#N/A</v>
      </c>
      <c r="T100" s="3" t="e">
        <f>VLOOKUP(D100,LookupLists!$N$4:$T$60,2,FALSE)</f>
        <v>#N/A</v>
      </c>
      <c r="U100" s="3" t="e">
        <f>VLOOKUP(D100,LookupLists!$N$4:$T$60,3,FALSE)</f>
        <v>#N/A</v>
      </c>
      <c r="V100" s="3" t="e">
        <f>VLOOKUP(D100,LookupLists!$N$4:$T$60,5,FALSE)</f>
        <v>#N/A</v>
      </c>
    </row>
    <row r="101" spans="5:22" x14ac:dyDescent="0.3">
      <c r="E101" s="3" t="str">
        <f t="shared" si="1"/>
        <v/>
      </c>
      <c r="F101" s="3" t="str">
        <f xml:space="preserve"> IF(E101="","",  IFERROR(VLOOKUP(D101,LookupLists!$N$3:$T$60,6,FALSE)-LEN(E101),0))</f>
        <v/>
      </c>
      <c r="G101" s="3" t="str">
        <f>IF(E101="","",IFERROR(matches(E101,VLOOKUP(D101,LookupLists!$N$3:$T$60,7,FALSE)),FALSE))</f>
        <v/>
      </c>
      <c r="H101" s="3" t="e">
        <f>VLOOKUP(A101,LookupLists!$I$3:$L$60,1,FALSE)</f>
        <v>#N/A</v>
      </c>
      <c r="I101" s="3" t="e">
        <f>VLOOKUP(A101,LookupLists!$I$3:$L$60,2,FALSE)</f>
        <v>#N/A</v>
      </c>
      <c r="J101" s="3" t="e">
        <f>VLOOKUP(A101,LookupLists!$I$3:$L$60,3,FALSE)</f>
        <v>#N/A</v>
      </c>
      <c r="K101" s="3" t="e">
        <f>VLOOKUP(A101,LookupLists!$I$3:$L$60,4,FALSE)</f>
        <v>#N/A</v>
      </c>
      <c r="L101" s="3" t="e">
        <f>VLOOKUP(C101,LookupLists!$A$3:$G$60,1,FALSE)</f>
        <v>#N/A</v>
      </c>
      <c r="M101" s="3" t="e">
        <f>VLOOKUP(C101,LookupLists!$A$3:$G$60,4,FALSE)</f>
        <v>#N/A</v>
      </c>
      <c r="N101" s="3" t="e">
        <f>VLOOKUP(C101,LookupLists!$A$3:$G$60,2,FALSE)</f>
        <v>#N/A</v>
      </c>
      <c r="O101" s="3" t="e">
        <f>VLOOKUP(C101,LookupLists!$A$3:$G$60,3,FALSE)</f>
        <v>#N/A</v>
      </c>
      <c r="P101" s="3" t="e">
        <f>VLOOKUP(C101,LookupLists!$A$3:$G$60,5,FALSE)</f>
        <v>#N/A</v>
      </c>
      <c r="Q101" s="3" t="e">
        <f>VLOOKUP(C101,LookupLists!$A$3:$G$60,6,FALSE)</f>
        <v>#N/A</v>
      </c>
      <c r="R101" s="4" t="e">
        <f>VLOOKUP(C101,LookupLists!$A$3:$G$60,7,FALSE)</f>
        <v>#N/A</v>
      </c>
      <c r="S101" s="3" t="e">
        <f>VLOOKUP(D101,LookupLists!$N$4:$T$60,1,FALSE)</f>
        <v>#N/A</v>
      </c>
      <c r="T101" s="3" t="e">
        <f>VLOOKUP(D101,LookupLists!$N$4:$T$60,2,FALSE)</f>
        <v>#N/A</v>
      </c>
      <c r="U101" s="3" t="e">
        <f>VLOOKUP(D101,LookupLists!$N$4:$T$60,3,FALSE)</f>
        <v>#N/A</v>
      </c>
      <c r="V101" s="3" t="e">
        <f>VLOOKUP(D101,LookupLists!$N$4:$T$60,5,FALSE)</f>
        <v>#N/A</v>
      </c>
    </row>
    <row r="102" spans="5:22" x14ac:dyDescent="0.3">
      <c r="E102" s="3" t="str">
        <f t="shared" si="1"/>
        <v/>
      </c>
      <c r="F102" s="3" t="str">
        <f xml:space="preserve"> IF(E102="","",  IFERROR(VLOOKUP(D102,LookupLists!$N$3:$T$60,6,FALSE)-LEN(E102),0))</f>
        <v/>
      </c>
      <c r="G102" s="3" t="str">
        <f>IF(E102="","",IFERROR(matches(E102,VLOOKUP(D102,LookupLists!$N$3:$T$60,7,FALSE)),FALSE))</f>
        <v/>
      </c>
      <c r="H102" s="3" t="e">
        <f>VLOOKUP(A102,LookupLists!$I$3:$L$60,1,FALSE)</f>
        <v>#N/A</v>
      </c>
      <c r="I102" s="3" t="e">
        <f>VLOOKUP(A102,LookupLists!$I$3:$L$60,2,FALSE)</f>
        <v>#N/A</v>
      </c>
      <c r="J102" s="3" t="e">
        <f>VLOOKUP(A102,LookupLists!$I$3:$L$60,3,FALSE)</f>
        <v>#N/A</v>
      </c>
      <c r="K102" s="3" t="e">
        <f>VLOOKUP(A102,LookupLists!$I$3:$L$60,4,FALSE)</f>
        <v>#N/A</v>
      </c>
      <c r="L102" s="3" t="e">
        <f>VLOOKUP(C102,LookupLists!$A$3:$G$60,1,FALSE)</f>
        <v>#N/A</v>
      </c>
      <c r="M102" s="3" t="e">
        <f>VLOOKUP(C102,LookupLists!$A$3:$G$60,4,FALSE)</f>
        <v>#N/A</v>
      </c>
      <c r="N102" s="3" t="e">
        <f>VLOOKUP(C102,LookupLists!$A$3:$G$60,2,FALSE)</f>
        <v>#N/A</v>
      </c>
      <c r="O102" s="3" t="e">
        <f>VLOOKUP(C102,LookupLists!$A$3:$G$60,3,FALSE)</f>
        <v>#N/A</v>
      </c>
      <c r="P102" s="3" t="e">
        <f>VLOOKUP(C102,LookupLists!$A$3:$G$60,5,FALSE)</f>
        <v>#N/A</v>
      </c>
      <c r="Q102" s="3" t="e">
        <f>VLOOKUP(C102,LookupLists!$A$3:$G$60,6,FALSE)</f>
        <v>#N/A</v>
      </c>
      <c r="R102" s="4" t="e">
        <f>VLOOKUP(C102,LookupLists!$A$3:$G$60,7,FALSE)</f>
        <v>#N/A</v>
      </c>
      <c r="S102" s="3" t="e">
        <f>VLOOKUP(D102,LookupLists!$N$4:$T$60,1,FALSE)</f>
        <v>#N/A</v>
      </c>
      <c r="T102" s="3" t="e">
        <f>VLOOKUP(D102,LookupLists!$N$4:$T$60,2,FALSE)</f>
        <v>#N/A</v>
      </c>
      <c r="U102" s="3" t="e">
        <f>VLOOKUP(D102,LookupLists!$N$4:$T$60,3,FALSE)</f>
        <v>#N/A</v>
      </c>
      <c r="V102" s="3" t="e">
        <f>VLOOKUP(D102,LookupLists!$N$4:$T$60,5,FALSE)</f>
        <v>#N/A</v>
      </c>
    </row>
    <row r="103" spans="5:22" x14ac:dyDescent="0.3">
      <c r="E103" s="3" t="str">
        <f t="shared" si="1"/>
        <v/>
      </c>
      <c r="F103" s="3" t="str">
        <f xml:space="preserve"> IF(E103="","",  IFERROR(VLOOKUP(D103,LookupLists!$N$3:$T$60,6,FALSE)-LEN(E103),0))</f>
        <v/>
      </c>
      <c r="G103" s="3" t="str">
        <f>IF(E103="","",IFERROR(matches(E103,VLOOKUP(D103,LookupLists!$N$3:$T$60,7,FALSE)),FALSE))</f>
        <v/>
      </c>
      <c r="H103" s="3" t="e">
        <f>VLOOKUP(A103,LookupLists!$I$3:$L$60,1,FALSE)</f>
        <v>#N/A</v>
      </c>
      <c r="I103" s="3" t="e">
        <f>VLOOKUP(A103,LookupLists!$I$3:$L$60,2,FALSE)</f>
        <v>#N/A</v>
      </c>
      <c r="J103" s="3" t="e">
        <f>VLOOKUP(A103,LookupLists!$I$3:$L$60,3,FALSE)</f>
        <v>#N/A</v>
      </c>
      <c r="K103" s="3" t="e">
        <f>VLOOKUP(A103,LookupLists!$I$3:$L$60,4,FALSE)</f>
        <v>#N/A</v>
      </c>
      <c r="L103" s="3" t="e">
        <f>VLOOKUP(C103,LookupLists!$A$3:$G$60,1,FALSE)</f>
        <v>#N/A</v>
      </c>
      <c r="M103" s="3" t="e">
        <f>VLOOKUP(C103,LookupLists!$A$3:$G$60,4,FALSE)</f>
        <v>#N/A</v>
      </c>
      <c r="N103" s="3" t="e">
        <f>VLOOKUP(C103,LookupLists!$A$3:$G$60,2,FALSE)</f>
        <v>#N/A</v>
      </c>
      <c r="O103" s="3" t="e">
        <f>VLOOKUP(C103,LookupLists!$A$3:$G$60,3,FALSE)</f>
        <v>#N/A</v>
      </c>
      <c r="P103" s="3" t="e">
        <f>VLOOKUP(C103,LookupLists!$A$3:$G$60,5,FALSE)</f>
        <v>#N/A</v>
      </c>
      <c r="Q103" s="3" t="e">
        <f>VLOOKUP(C103,LookupLists!$A$3:$G$60,6,FALSE)</f>
        <v>#N/A</v>
      </c>
      <c r="R103" s="4" t="e">
        <f>VLOOKUP(C103,LookupLists!$A$3:$G$60,7,FALSE)</f>
        <v>#N/A</v>
      </c>
      <c r="S103" s="3" t="e">
        <f>VLOOKUP(D103,LookupLists!$N$4:$T$60,1,FALSE)</f>
        <v>#N/A</v>
      </c>
      <c r="T103" s="3" t="e">
        <f>VLOOKUP(D103,LookupLists!$N$4:$T$60,2,FALSE)</f>
        <v>#N/A</v>
      </c>
      <c r="U103" s="3" t="e">
        <f>VLOOKUP(D103,LookupLists!$N$4:$T$60,3,FALSE)</f>
        <v>#N/A</v>
      </c>
      <c r="V103" s="3" t="e">
        <f>VLOOKUP(D103,LookupLists!$N$4:$T$60,5,FALSE)</f>
        <v>#N/A</v>
      </c>
    </row>
    <row r="104" spans="5:22" x14ac:dyDescent="0.3">
      <c r="E104" s="3" t="str">
        <f t="shared" si="1"/>
        <v/>
      </c>
      <c r="F104" s="3" t="str">
        <f xml:space="preserve"> IF(E104="","",  IFERROR(VLOOKUP(D104,LookupLists!$N$3:$T$60,6,FALSE)-LEN(E104),0))</f>
        <v/>
      </c>
      <c r="G104" s="3" t="str">
        <f>IF(E104="","",IFERROR(matches(E104,VLOOKUP(D104,LookupLists!$N$3:$T$60,7,FALSE)),FALSE))</f>
        <v/>
      </c>
      <c r="H104" s="3" t="e">
        <f>VLOOKUP(A104,LookupLists!$I$3:$L$60,1,FALSE)</f>
        <v>#N/A</v>
      </c>
      <c r="I104" s="3" t="e">
        <f>VLOOKUP(A104,LookupLists!$I$3:$L$60,2,FALSE)</f>
        <v>#N/A</v>
      </c>
      <c r="J104" s="3" t="e">
        <f>VLOOKUP(A104,LookupLists!$I$3:$L$60,3,FALSE)</f>
        <v>#N/A</v>
      </c>
      <c r="K104" s="3" t="e">
        <f>VLOOKUP(A104,LookupLists!$I$3:$L$60,4,FALSE)</f>
        <v>#N/A</v>
      </c>
      <c r="L104" s="3" t="e">
        <f>VLOOKUP(C104,LookupLists!$A$3:$G$60,1,FALSE)</f>
        <v>#N/A</v>
      </c>
      <c r="M104" s="3" t="e">
        <f>VLOOKUP(C104,LookupLists!$A$3:$G$60,4,FALSE)</f>
        <v>#N/A</v>
      </c>
      <c r="N104" s="3" t="e">
        <f>VLOOKUP(C104,LookupLists!$A$3:$G$60,2,FALSE)</f>
        <v>#N/A</v>
      </c>
      <c r="O104" s="3" t="e">
        <f>VLOOKUP(C104,LookupLists!$A$3:$G$60,3,FALSE)</f>
        <v>#N/A</v>
      </c>
      <c r="P104" s="3" t="e">
        <f>VLOOKUP(C104,LookupLists!$A$3:$G$60,5,FALSE)</f>
        <v>#N/A</v>
      </c>
      <c r="Q104" s="3" t="e">
        <f>VLOOKUP(C104,LookupLists!$A$3:$G$60,6,FALSE)</f>
        <v>#N/A</v>
      </c>
      <c r="R104" s="4" t="e">
        <f>VLOOKUP(C104,LookupLists!$A$3:$G$60,7,FALSE)</f>
        <v>#N/A</v>
      </c>
      <c r="S104" s="3" t="e">
        <f>VLOOKUP(D104,LookupLists!$N$4:$T$60,1,FALSE)</f>
        <v>#N/A</v>
      </c>
      <c r="T104" s="3" t="e">
        <f>VLOOKUP(D104,LookupLists!$N$4:$T$60,2,FALSE)</f>
        <v>#N/A</v>
      </c>
      <c r="U104" s="3" t="e">
        <f>VLOOKUP(D104,LookupLists!$N$4:$T$60,3,FALSE)</f>
        <v>#N/A</v>
      </c>
      <c r="V104" s="3" t="e">
        <f>VLOOKUP(D104,LookupLists!$N$4:$T$60,5,FALSE)</f>
        <v>#N/A</v>
      </c>
    </row>
    <row r="105" spans="5:22" x14ac:dyDescent="0.3">
      <c r="E105" s="3" t="str">
        <f t="shared" si="1"/>
        <v/>
      </c>
      <c r="F105" s="3" t="str">
        <f xml:space="preserve"> IF(E105="","",  IFERROR(VLOOKUP(D105,LookupLists!$N$3:$T$60,6,FALSE)-LEN(E105),0))</f>
        <v/>
      </c>
      <c r="G105" s="3" t="str">
        <f>IF(E105="","",IFERROR(matches(E105,VLOOKUP(D105,LookupLists!$N$3:$T$60,7,FALSE)),FALSE))</f>
        <v/>
      </c>
      <c r="H105" s="3" t="e">
        <f>VLOOKUP(A105,LookupLists!$I$3:$L$60,1,FALSE)</f>
        <v>#N/A</v>
      </c>
      <c r="I105" s="3" t="e">
        <f>VLOOKUP(A105,LookupLists!$I$3:$L$60,2,FALSE)</f>
        <v>#N/A</v>
      </c>
      <c r="J105" s="3" t="e">
        <f>VLOOKUP(A105,LookupLists!$I$3:$L$60,3,FALSE)</f>
        <v>#N/A</v>
      </c>
      <c r="K105" s="3" t="e">
        <f>VLOOKUP(A105,LookupLists!$I$3:$L$60,4,FALSE)</f>
        <v>#N/A</v>
      </c>
      <c r="L105" s="3" t="e">
        <f>VLOOKUP(C105,LookupLists!$A$3:$G$60,1,FALSE)</f>
        <v>#N/A</v>
      </c>
      <c r="M105" s="3" t="e">
        <f>VLOOKUP(C105,LookupLists!$A$3:$G$60,4,FALSE)</f>
        <v>#N/A</v>
      </c>
      <c r="N105" s="3" t="e">
        <f>VLOOKUP(C105,LookupLists!$A$3:$G$60,2,FALSE)</f>
        <v>#N/A</v>
      </c>
      <c r="O105" s="3" t="e">
        <f>VLOOKUP(C105,LookupLists!$A$3:$G$60,3,FALSE)</f>
        <v>#N/A</v>
      </c>
      <c r="P105" s="3" t="e">
        <f>VLOOKUP(C105,LookupLists!$A$3:$G$60,5,FALSE)</f>
        <v>#N/A</v>
      </c>
      <c r="Q105" s="3" t="e">
        <f>VLOOKUP(C105,LookupLists!$A$3:$G$60,6,FALSE)</f>
        <v>#N/A</v>
      </c>
      <c r="R105" s="4" t="e">
        <f>VLOOKUP(C105,LookupLists!$A$3:$G$60,7,FALSE)</f>
        <v>#N/A</v>
      </c>
      <c r="S105" s="3" t="e">
        <f>VLOOKUP(D105,LookupLists!$N$4:$T$60,1,FALSE)</f>
        <v>#N/A</v>
      </c>
      <c r="T105" s="3" t="e">
        <f>VLOOKUP(D105,LookupLists!$N$4:$T$60,2,FALSE)</f>
        <v>#N/A</v>
      </c>
      <c r="U105" s="3" t="e">
        <f>VLOOKUP(D105,LookupLists!$N$4:$T$60,3,FALSE)</f>
        <v>#N/A</v>
      </c>
      <c r="V105" s="3" t="e">
        <f>VLOOKUP(D105,LookupLists!$N$4:$T$60,5,FALSE)</f>
        <v>#N/A</v>
      </c>
    </row>
    <row r="106" spans="5:22" x14ac:dyDescent="0.3">
      <c r="E106" s="3" t="str">
        <f t="shared" si="1"/>
        <v/>
      </c>
      <c r="F106" s="3" t="str">
        <f xml:space="preserve"> IF(E106="","",  IFERROR(VLOOKUP(D106,LookupLists!$N$3:$T$60,6,FALSE)-LEN(E106),0))</f>
        <v/>
      </c>
      <c r="G106" s="3" t="str">
        <f>IF(E106="","",IFERROR(matches(E106,VLOOKUP(D106,LookupLists!$N$3:$T$60,7,FALSE)),FALSE))</f>
        <v/>
      </c>
      <c r="H106" s="3" t="e">
        <f>VLOOKUP(A106,LookupLists!$I$3:$L$60,1,FALSE)</f>
        <v>#N/A</v>
      </c>
      <c r="I106" s="3" t="e">
        <f>VLOOKUP(A106,LookupLists!$I$3:$L$60,2,FALSE)</f>
        <v>#N/A</v>
      </c>
      <c r="J106" s="3" t="e">
        <f>VLOOKUP(A106,LookupLists!$I$3:$L$60,3,FALSE)</f>
        <v>#N/A</v>
      </c>
      <c r="K106" s="3" t="e">
        <f>VLOOKUP(A106,LookupLists!$I$3:$L$60,4,FALSE)</f>
        <v>#N/A</v>
      </c>
      <c r="L106" s="3" t="e">
        <f>VLOOKUP(C106,LookupLists!$A$3:$G$60,1,FALSE)</f>
        <v>#N/A</v>
      </c>
      <c r="M106" s="3" t="e">
        <f>VLOOKUP(C106,LookupLists!$A$3:$G$60,4,FALSE)</f>
        <v>#N/A</v>
      </c>
      <c r="N106" s="3" t="e">
        <f>VLOOKUP(C106,LookupLists!$A$3:$G$60,2,FALSE)</f>
        <v>#N/A</v>
      </c>
      <c r="O106" s="3" t="e">
        <f>VLOOKUP(C106,LookupLists!$A$3:$G$60,3,FALSE)</f>
        <v>#N/A</v>
      </c>
      <c r="P106" s="3" t="e">
        <f>VLOOKUP(C106,LookupLists!$A$3:$G$60,5,FALSE)</f>
        <v>#N/A</v>
      </c>
      <c r="Q106" s="3" t="e">
        <f>VLOOKUP(C106,LookupLists!$A$3:$G$60,6,FALSE)</f>
        <v>#N/A</v>
      </c>
      <c r="R106" s="4" t="e">
        <f>VLOOKUP(C106,LookupLists!$A$3:$G$60,7,FALSE)</f>
        <v>#N/A</v>
      </c>
      <c r="S106" s="3" t="e">
        <f>VLOOKUP(D106,LookupLists!$N$4:$T$60,1,FALSE)</f>
        <v>#N/A</v>
      </c>
      <c r="T106" s="3" t="e">
        <f>VLOOKUP(D106,LookupLists!$N$4:$T$60,2,FALSE)</f>
        <v>#N/A</v>
      </c>
      <c r="U106" s="3" t="e">
        <f>VLOOKUP(D106,LookupLists!$N$4:$T$60,3,FALSE)</f>
        <v>#N/A</v>
      </c>
      <c r="V106" s="3" t="e">
        <f>VLOOKUP(D106,LookupLists!$N$4:$T$60,5,FALSE)</f>
        <v>#N/A</v>
      </c>
    </row>
    <row r="107" spans="5:22" x14ac:dyDescent="0.3">
      <c r="E107" s="3" t="str">
        <f t="shared" si="1"/>
        <v/>
      </c>
      <c r="F107" s="3" t="str">
        <f xml:space="preserve"> IF(E107="","",  IFERROR(VLOOKUP(D107,LookupLists!$N$3:$T$60,6,FALSE)-LEN(E107),0))</f>
        <v/>
      </c>
      <c r="G107" s="3" t="str">
        <f>IF(E107="","",IFERROR(matches(E107,VLOOKUP(D107,LookupLists!$N$3:$T$60,7,FALSE)),FALSE))</f>
        <v/>
      </c>
      <c r="H107" s="3" t="e">
        <f>VLOOKUP(A107,LookupLists!$I$3:$L$60,1,FALSE)</f>
        <v>#N/A</v>
      </c>
      <c r="I107" s="3" t="e">
        <f>VLOOKUP(A107,LookupLists!$I$3:$L$60,2,FALSE)</f>
        <v>#N/A</v>
      </c>
      <c r="J107" s="3" t="e">
        <f>VLOOKUP(A107,LookupLists!$I$3:$L$60,3,FALSE)</f>
        <v>#N/A</v>
      </c>
      <c r="K107" s="3" t="e">
        <f>VLOOKUP(A107,LookupLists!$I$3:$L$60,4,FALSE)</f>
        <v>#N/A</v>
      </c>
      <c r="L107" s="3" t="e">
        <f>VLOOKUP(C107,LookupLists!$A$3:$G$60,1,FALSE)</f>
        <v>#N/A</v>
      </c>
      <c r="M107" s="3" t="e">
        <f>VLOOKUP(C107,LookupLists!$A$3:$G$60,4,FALSE)</f>
        <v>#N/A</v>
      </c>
      <c r="N107" s="3" t="e">
        <f>VLOOKUP(C107,LookupLists!$A$3:$G$60,2,FALSE)</f>
        <v>#N/A</v>
      </c>
      <c r="O107" s="3" t="e">
        <f>VLOOKUP(C107,LookupLists!$A$3:$G$60,3,FALSE)</f>
        <v>#N/A</v>
      </c>
      <c r="P107" s="3" t="e">
        <f>VLOOKUP(C107,LookupLists!$A$3:$G$60,5,FALSE)</f>
        <v>#N/A</v>
      </c>
      <c r="Q107" s="3" t="e">
        <f>VLOOKUP(C107,LookupLists!$A$3:$G$60,6,FALSE)</f>
        <v>#N/A</v>
      </c>
      <c r="R107" s="4" t="e">
        <f>VLOOKUP(C107,LookupLists!$A$3:$G$60,7,FALSE)</f>
        <v>#N/A</v>
      </c>
      <c r="S107" s="3" t="e">
        <f>VLOOKUP(D107,LookupLists!$N$4:$T$60,1,FALSE)</f>
        <v>#N/A</v>
      </c>
      <c r="T107" s="3" t="e">
        <f>VLOOKUP(D107,LookupLists!$N$4:$T$60,2,FALSE)</f>
        <v>#N/A</v>
      </c>
      <c r="U107" s="3" t="e">
        <f>VLOOKUP(D107,LookupLists!$N$4:$T$60,3,FALSE)</f>
        <v>#N/A</v>
      </c>
      <c r="V107" s="3" t="e">
        <f>VLOOKUP(D107,LookupLists!$N$4:$T$60,5,FALSE)</f>
        <v>#N/A</v>
      </c>
    </row>
    <row r="108" spans="5:22" x14ac:dyDescent="0.3">
      <c r="E108" s="3" t="str">
        <f t="shared" si="1"/>
        <v/>
      </c>
      <c r="F108" s="3" t="str">
        <f xml:space="preserve"> IF(E108="","",  IFERROR(VLOOKUP(D108,LookupLists!$N$3:$T$60,6,FALSE)-LEN(E108),0))</f>
        <v/>
      </c>
      <c r="G108" s="3" t="str">
        <f>IF(E108="","",IFERROR(matches(E108,VLOOKUP(D108,LookupLists!$N$3:$T$60,7,FALSE)),FALSE))</f>
        <v/>
      </c>
      <c r="H108" s="3" t="e">
        <f>VLOOKUP(A108,LookupLists!$I$3:$L$60,1,FALSE)</f>
        <v>#N/A</v>
      </c>
      <c r="I108" s="3" t="e">
        <f>VLOOKUP(A108,LookupLists!$I$3:$L$60,2,FALSE)</f>
        <v>#N/A</v>
      </c>
      <c r="J108" s="3" t="e">
        <f>VLOOKUP(A108,LookupLists!$I$3:$L$60,3,FALSE)</f>
        <v>#N/A</v>
      </c>
      <c r="K108" s="3" t="e">
        <f>VLOOKUP(A108,LookupLists!$I$3:$L$60,4,FALSE)</f>
        <v>#N/A</v>
      </c>
      <c r="L108" s="3" t="e">
        <f>VLOOKUP(C108,LookupLists!$A$3:$G$60,1,FALSE)</f>
        <v>#N/A</v>
      </c>
      <c r="M108" s="3" t="e">
        <f>VLOOKUP(C108,LookupLists!$A$3:$G$60,4,FALSE)</f>
        <v>#N/A</v>
      </c>
      <c r="N108" s="3" t="e">
        <f>VLOOKUP(C108,LookupLists!$A$3:$G$60,2,FALSE)</f>
        <v>#N/A</v>
      </c>
      <c r="O108" s="3" t="e">
        <f>VLOOKUP(C108,LookupLists!$A$3:$G$60,3,FALSE)</f>
        <v>#N/A</v>
      </c>
      <c r="P108" s="3" t="e">
        <f>VLOOKUP(C108,LookupLists!$A$3:$G$60,5,FALSE)</f>
        <v>#N/A</v>
      </c>
      <c r="Q108" s="3" t="e">
        <f>VLOOKUP(C108,LookupLists!$A$3:$G$60,6,FALSE)</f>
        <v>#N/A</v>
      </c>
      <c r="R108" s="4" t="e">
        <f>VLOOKUP(C108,LookupLists!$A$3:$G$60,7,FALSE)</f>
        <v>#N/A</v>
      </c>
      <c r="S108" s="3" t="e">
        <f>VLOOKUP(D108,LookupLists!$N$4:$T$60,1,FALSE)</f>
        <v>#N/A</v>
      </c>
      <c r="T108" s="3" t="e">
        <f>VLOOKUP(D108,LookupLists!$N$4:$T$60,2,FALSE)</f>
        <v>#N/A</v>
      </c>
      <c r="U108" s="3" t="e">
        <f>VLOOKUP(D108,LookupLists!$N$4:$T$60,3,FALSE)</f>
        <v>#N/A</v>
      </c>
      <c r="V108" s="3" t="e">
        <f>VLOOKUP(D108,LookupLists!$N$4:$T$60,5,FALSE)</f>
        <v>#N/A</v>
      </c>
    </row>
    <row r="109" spans="5:22" x14ac:dyDescent="0.3">
      <c r="E109" s="3" t="str">
        <f t="shared" si="1"/>
        <v/>
      </c>
      <c r="F109" s="3" t="str">
        <f xml:space="preserve"> IF(E109="","",  IFERROR(VLOOKUP(D109,LookupLists!$N$3:$T$60,6,FALSE)-LEN(E109),0))</f>
        <v/>
      </c>
      <c r="G109" s="3" t="str">
        <f>IF(E109="","",IFERROR(matches(E109,VLOOKUP(D109,LookupLists!$N$3:$T$60,7,FALSE)),FALSE))</f>
        <v/>
      </c>
      <c r="H109" s="3" t="e">
        <f>VLOOKUP(A109,LookupLists!$I$3:$L$60,1,FALSE)</f>
        <v>#N/A</v>
      </c>
      <c r="I109" s="3" t="e">
        <f>VLOOKUP(A109,LookupLists!$I$3:$L$60,2,FALSE)</f>
        <v>#N/A</v>
      </c>
      <c r="J109" s="3" t="e">
        <f>VLOOKUP(A109,LookupLists!$I$3:$L$60,3,FALSE)</f>
        <v>#N/A</v>
      </c>
      <c r="K109" s="3" t="e">
        <f>VLOOKUP(A109,LookupLists!$I$3:$L$60,4,FALSE)</f>
        <v>#N/A</v>
      </c>
      <c r="L109" s="3" t="e">
        <f>VLOOKUP(C109,LookupLists!$A$3:$G$60,1,FALSE)</f>
        <v>#N/A</v>
      </c>
      <c r="M109" s="3" t="e">
        <f>VLOOKUP(C109,LookupLists!$A$3:$G$60,4,FALSE)</f>
        <v>#N/A</v>
      </c>
      <c r="N109" s="3" t="e">
        <f>VLOOKUP(C109,LookupLists!$A$3:$G$60,2,FALSE)</f>
        <v>#N/A</v>
      </c>
      <c r="O109" s="3" t="e">
        <f>VLOOKUP(C109,LookupLists!$A$3:$G$60,3,FALSE)</f>
        <v>#N/A</v>
      </c>
      <c r="P109" s="3" t="e">
        <f>VLOOKUP(C109,LookupLists!$A$3:$G$60,5,FALSE)</f>
        <v>#N/A</v>
      </c>
      <c r="Q109" s="3" t="e">
        <f>VLOOKUP(C109,LookupLists!$A$3:$G$60,6,FALSE)</f>
        <v>#N/A</v>
      </c>
      <c r="R109" s="4" t="e">
        <f>VLOOKUP(C109,LookupLists!$A$3:$G$60,7,FALSE)</f>
        <v>#N/A</v>
      </c>
      <c r="S109" s="3" t="e">
        <f>VLOOKUP(D109,LookupLists!$N$4:$T$60,1,FALSE)</f>
        <v>#N/A</v>
      </c>
      <c r="T109" s="3" t="e">
        <f>VLOOKUP(D109,LookupLists!$N$4:$T$60,2,FALSE)</f>
        <v>#N/A</v>
      </c>
      <c r="U109" s="3" t="e">
        <f>VLOOKUP(D109,LookupLists!$N$4:$T$60,3,FALSE)</f>
        <v>#N/A</v>
      </c>
      <c r="V109" s="3" t="e">
        <f>VLOOKUP(D109,LookupLists!$N$4:$T$60,5,FALSE)</f>
        <v>#N/A</v>
      </c>
    </row>
    <row r="110" spans="5:22" x14ac:dyDescent="0.3">
      <c r="E110" s="3" t="str">
        <f t="shared" si="1"/>
        <v/>
      </c>
      <c r="F110" s="3" t="str">
        <f xml:space="preserve"> IF(E110="","",  IFERROR(VLOOKUP(D110,LookupLists!$N$3:$T$60,6,FALSE)-LEN(E110),0))</f>
        <v/>
      </c>
      <c r="G110" s="3" t="str">
        <f>IF(E110="","",IFERROR(matches(E110,VLOOKUP(D110,LookupLists!$N$3:$T$60,7,FALSE)),FALSE))</f>
        <v/>
      </c>
      <c r="H110" s="3" t="e">
        <f>VLOOKUP(A110,LookupLists!$I$3:$L$60,1,FALSE)</f>
        <v>#N/A</v>
      </c>
      <c r="I110" s="3" t="e">
        <f>VLOOKUP(A110,LookupLists!$I$3:$L$60,2,FALSE)</f>
        <v>#N/A</v>
      </c>
      <c r="J110" s="3" t="e">
        <f>VLOOKUP(A110,LookupLists!$I$3:$L$60,3,FALSE)</f>
        <v>#N/A</v>
      </c>
      <c r="K110" s="3" t="e">
        <f>VLOOKUP(A110,LookupLists!$I$3:$L$60,4,FALSE)</f>
        <v>#N/A</v>
      </c>
      <c r="L110" s="3" t="e">
        <f>VLOOKUP(C110,LookupLists!$A$3:$G$60,1,FALSE)</f>
        <v>#N/A</v>
      </c>
      <c r="M110" s="3" t="e">
        <f>VLOOKUP(C110,LookupLists!$A$3:$G$60,4,FALSE)</f>
        <v>#N/A</v>
      </c>
      <c r="N110" s="3" t="e">
        <f>VLOOKUP(C110,LookupLists!$A$3:$G$60,2,FALSE)</f>
        <v>#N/A</v>
      </c>
      <c r="O110" s="3" t="e">
        <f>VLOOKUP(C110,LookupLists!$A$3:$G$60,3,FALSE)</f>
        <v>#N/A</v>
      </c>
      <c r="P110" s="3" t="e">
        <f>VLOOKUP(C110,LookupLists!$A$3:$G$60,5,FALSE)</f>
        <v>#N/A</v>
      </c>
      <c r="Q110" s="3" t="e">
        <f>VLOOKUP(C110,LookupLists!$A$3:$G$60,6,FALSE)</f>
        <v>#N/A</v>
      </c>
      <c r="R110" s="4" t="e">
        <f>VLOOKUP(C110,LookupLists!$A$3:$G$60,7,FALSE)</f>
        <v>#N/A</v>
      </c>
      <c r="S110" s="3" t="e">
        <f>VLOOKUP(D110,LookupLists!$N$4:$T$60,1,FALSE)</f>
        <v>#N/A</v>
      </c>
      <c r="T110" s="3" t="e">
        <f>VLOOKUP(D110,LookupLists!$N$4:$T$60,2,FALSE)</f>
        <v>#N/A</v>
      </c>
      <c r="U110" s="3" t="e">
        <f>VLOOKUP(D110,LookupLists!$N$4:$T$60,3,FALSE)</f>
        <v>#N/A</v>
      </c>
      <c r="V110" s="3" t="e">
        <f>VLOOKUP(D110,LookupLists!$N$4:$T$60,5,FALSE)</f>
        <v>#N/A</v>
      </c>
    </row>
    <row r="111" spans="5:22" x14ac:dyDescent="0.3">
      <c r="E111" s="3" t="str">
        <f t="shared" si="1"/>
        <v/>
      </c>
      <c r="F111" s="3" t="str">
        <f xml:space="preserve"> IF(E111="","",  IFERROR(VLOOKUP(D111,LookupLists!$N$3:$T$60,6,FALSE)-LEN(E111),0))</f>
        <v/>
      </c>
      <c r="G111" s="3" t="str">
        <f>IF(E111="","",IFERROR(matches(E111,VLOOKUP(D111,LookupLists!$N$3:$T$60,7,FALSE)),FALSE))</f>
        <v/>
      </c>
      <c r="H111" s="3" t="e">
        <f>VLOOKUP(A111,LookupLists!$I$3:$L$60,1,FALSE)</f>
        <v>#N/A</v>
      </c>
      <c r="I111" s="3" t="e">
        <f>VLOOKUP(A111,LookupLists!$I$3:$L$60,2,FALSE)</f>
        <v>#N/A</v>
      </c>
      <c r="J111" s="3" t="e">
        <f>VLOOKUP(A111,LookupLists!$I$3:$L$60,3,FALSE)</f>
        <v>#N/A</v>
      </c>
      <c r="K111" s="3" t="e">
        <f>VLOOKUP(A111,LookupLists!$I$3:$L$60,4,FALSE)</f>
        <v>#N/A</v>
      </c>
      <c r="L111" s="3" t="e">
        <f>VLOOKUP(C111,LookupLists!$A$3:$G$60,1,FALSE)</f>
        <v>#N/A</v>
      </c>
      <c r="M111" s="3" t="e">
        <f>VLOOKUP(C111,LookupLists!$A$3:$G$60,4,FALSE)</f>
        <v>#N/A</v>
      </c>
      <c r="N111" s="3" t="e">
        <f>VLOOKUP(C111,LookupLists!$A$3:$G$60,2,FALSE)</f>
        <v>#N/A</v>
      </c>
      <c r="O111" s="3" t="e">
        <f>VLOOKUP(C111,LookupLists!$A$3:$G$60,3,FALSE)</f>
        <v>#N/A</v>
      </c>
      <c r="P111" s="3" t="e">
        <f>VLOOKUP(C111,LookupLists!$A$3:$G$60,5,FALSE)</f>
        <v>#N/A</v>
      </c>
      <c r="Q111" s="3" t="e">
        <f>VLOOKUP(C111,LookupLists!$A$3:$G$60,6,FALSE)</f>
        <v>#N/A</v>
      </c>
      <c r="R111" s="4" t="e">
        <f>VLOOKUP(C111,LookupLists!$A$3:$G$60,7,FALSE)</f>
        <v>#N/A</v>
      </c>
      <c r="S111" s="3" t="e">
        <f>VLOOKUP(D111,LookupLists!$N$4:$T$60,1,FALSE)</f>
        <v>#N/A</v>
      </c>
      <c r="T111" s="3" t="e">
        <f>VLOOKUP(D111,LookupLists!$N$4:$T$60,2,FALSE)</f>
        <v>#N/A</v>
      </c>
      <c r="U111" s="3" t="e">
        <f>VLOOKUP(D111,LookupLists!$N$4:$T$60,3,FALSE)</f>
        <v>#N/A</v>
      </c>
      <c r="V111" s="3" t="e">
        <f>VLOOKUP(D111,LookupLists!$N$4:$T$60,5,FALSE)</f>
        <v>#N/A</v>
      </c>
    </row>
    <row r="112" spans="5:22" x14ac:dyDescent="0.3">
      <c r="E112" s="3" t="str">
        <f t="shared" si="1"/>
        <v/>
      </c>
      <c r="F112" s="3" t="str">
        <f xml:space="preserve"> IF(E112="","",  IFERROR(VLOOKUP(D112,LookupLists!$N$3:$T$60,6,FALSE)-LEN(E112),0))</f>
        <v/>
      </c>
      <c r="G112" s="3" t="str">
        <f>IF(E112="","",IFERROR(matches(E112,VLOOKUP(D112,LookupLists!$N$3:$T$60,7,FALSE)),FALSE))</f>
        <v/>
      </c>
      <c r="H112" s="3" t="e">
        <f>VLOOKUP(A112,LookupLists!$I$3:$L$60,1,FALSE)</f>
        <v>#N/A</v>
      </c>
      <c r="I112" s="3" t="e">
        <f>VLOOKUP(A112,LookupLists!$I$3:$L$60,2,FALSE)</f>
        <v>#N/A</v>
      </c>
      <c r="J112" s="3" t="e">
        <f>VLOOKUP(A112,LookupLists!$I$3:$L$60,3,FALSE)</f>
        <v>#N/A</v>
      </c>
      <c r="K112" s="3" t="e">
        <f>VLOOKUP(A112,LookupLists!$I$3:$L$60,4,FALSE)</f>
        <v>#N/A</v>
      </c>
      <c r="L112" s="3" t="e">
        <f>VLOOKUP(C112,LookupLists!$A$3:$G$60,1,FALSE)</f>
        <v>#N/A</v>
      </c>
      <c r="M112" s="3" t="e">
        <f>VLOOKUP(C112,LookupLists!$A$3:$G$60,4,FALSE)</f>
        <v>#N/A</v>
      </c>
      <c r="N112" s="3" t="e">
        <f>VLOOKUP(C112,LookupLists!$A$3:$G$60,2,FALSE)</f>
        <v>#N/A</v>
      </c>
      <c r="O112" s="3" t="e">
        <f>VLOOKUP(C112,LookupLists!$A$3:$G$60,3,FALSE)</f>
        <v>#N/A</v>
      </c>
      <c r="P112" s="3" t="e">
        <f>VLOOKUP(C112,LookupLists!$A$3:$G$60,5,FALSE)</f>
        <v>#N/A</v>
      </c>
      <c r="Q112" s="3" t="e">
        <f>VLOOKUP(C112,LookupLists!$A$3:$G$60,6,FALSE)</f>
        <v>#N/A</v>
      </c>
      <c r="R112" s="4" t="e">
        <f>VLOOKUP(C112,LookupLists!$A$3:$G$60,7,FALSE)</f>
        <v>#N/A</v>
      </c>
      <c r="S112" s="3" t="e">
        <f>VLOOKUP(D112,LookupLists!$N$4:$T$60,1,FALSE)</f>
        <v>#N/A</v>
      </c>
      <c r="T112" s="3" t="e">
        <f>VLOOKUP(D112,LookupLists!$N$4:$T$60,2,FALSE)</f>
        <v>#N/A</v>
      </c>
      <c r="U112" s="3" t="e">
        <f>VLOOKUP(D112,LookupLists!$N$4:$T$60,3,FALSE)</f>
        <v>#N/A</v>
      </c>
      <c r="V112" s="3" t="e">
        <f>VLOOKUP(D112,LookupLists!$N$4:$T$60,5,FALSE)</f>
        <v>#N/A</v>
      </c>
    </row>
    <row r="113" spans="5:22" x14ac:dyDescent="0.3">
      <c r="E113" s="3" t="str">
        <f t="shared" si="1"/>
        <v/>
      </c>
      <c r="F113" s="3" t="str">
        <f xml:space="preserve"> IF(E113="","",  IFERROR(VLOOKUP(D113,LookupLists!$N$3:$T$60,6,FALSE)-LEN(E113),0))</f>
        <v/>
      </c>
      <c r="G113" s="3" t="str">
        <f>IF(E113="","",IFERROR(matches(E113,VLOOKUP(D113,LookupLists!$N$3:$T$60,7,FALSE)),FALSE))</f>
        <v/>
      </c>
      <c r="H113" s="3" t="e">
        <f>VLOOKUP(A113,LookupLists!$I$3:$L$60,1,FALSE)</f>
        <v>#N/A</v>
      </c>
      <c r="I113" s="3" t="e">
        <f>VLOOKUP(A113,LookupLists!$I$3:$L$60,2,FALSE)</f>
        <v>#N/A</v>
      </c>
      <c r="J113" s="3" t="e">
        <f>VLOOKUP(A113,LookupLists!$I$3:$L$60,3,FALSE)</f>
        <v>#N/A</v>
      </c>
      <c r="K113" s="3" t="e">
        <f>VLOOKUP(A113,LookupLists!$I$3:$L$60,4,FALSE)</f>
        <v>#N/A</v>
      </c>
      <c r="L113" s="3" t="e">
        <f>VLOOKUP(C113,LookupLists!$A$3:$G$60,1,FALSE)</f>
        <v>#N/A</v>
      </c>
      <c r="M113" s="3" t="e">
        <f>VLOOKUP(C113,LookupLists!$A$3:$G$60,4,FALSE)</f>
        <v>#N/A</v>
      </c>
      <c r="N113" s="3" t="e">
        <f>VLOOKUP(C113,LookupLists!$A$3:$G$60,2,FALSE)</f>
        <v>#N/A</v>
      </c>
      <c r="O113" s="3" t="e">
        <f>VLOOKUP(C113,LookupLists!$A$3:$G$60,3,FALSE)</f>
        <v>#N/A</v>
      </c>
      <c r="P113" s="3" t="e">
        <f>VLOOKUP(C113,LookupLists!$A$3:$G$60,5,FALSE)</f>
        <v>#N/A</v>
      </c>
      <c r="Q113" s="3" t="e">
        <f>VLOOKUP(C113,LookupLists!$A$3:$G$60,6,FALSE)</f>
        <v>#N/A</v>
      </c>
      <c r="R113" s="4" t="e">
        <f>VLOOKUP(C113,LookupLists!$A$3:$G$60,7,FALSE)</f>
        <v>#N/A</v>
      </c>
      <c r="S113" s="3" t="e">
        <f>VLOOKUP(D113,LookupLists!$N$4:$T$60,1,FALSE)</f>
        <v>#N/A</v>
      </c>
      <c r="T113" s="3" t="e">
        <f>VLOOKUP(D113,LookupLists!$N$4:$T$60,2,FALSE)</f>
        <v>#N/A</v>
      </c>
      <c r="U113" s="3" t="e">
        <f>VLOOKUP(D113,LookupLists!$N$4:$T$60,3,FALSE)</f>
        <v>#N/A</v>
      </c>
      <c r="V113" s="3" t="e">
        <f>VLOOKUP(D113,LookupLists!$N$4:$T$60,5,FALSE)</f>
        <v>#N/A</v>
      </c>
    </row>
    <row r="114" spans="5:22" x14ac:dyDescent="0.3">
      <c r="E114" s="3" t="str">
        <f t="shared" si="1"/>
        <v/>
      </c>
      <c r="F114" s="3" t="str">
        <f xml:space="preserve"> IF(E114="","",  IFERROR(VLOOKUP(D114,LookupLists!$N$3:$T$60,6,FALSE)-LEN(E114),0))</f>
        <v/>
      </c>
      <c r="G114" s="3" t="str">
        <f>IF(E114="","",IFERROR(matches(E114,VLOOKUP(D114,LookupLists!$N$3:$T$60,7,FALSE)),FALSE))</f>
        <v/>
      </c>
      <c r="H114" s="3" t="e">
        <f>VLOOKUP(A114,LookupLists!$I$3:$L$60,1,FALSE)</f>
        <v>#N/A</v>
      </c>
      <c r="I114" s="3" t="e">
        <f>VLOOKUP(A114,LookupLists!$I$3:$L$60,2,FALSE)</f>
        <v>#N/A</v>
      </c>
      <c r="J114" s="3" t="e">
        <f>VLOOKUP(A114,LookupLists!$I$3:$L$60,3,FALSE)</f>
        <v>#N/A</v>
      </c>
      <c r="K114" s="3" t="e">
        <f>VLOOKUP(A114,LookupLists!$I$3:$L$60,4,FALSE)</f>
        <v>#N/A</v>
      </c>
      <c r="L114" s="3" t="e">
        <f>VLOOKUP(C114,LookupLists!$A$3:$G$60,1,FALSE)</f>
        <v>#N/A</v>
      </c>
      <c r="M114" s="3" t="e">
        <f>VLOOKUP(C114,LookupLists!$A$3:$G$60,4,FALSE)</f>
        <v>#N/A</v>
      </c>
      <c r="N114" s="3" t="e">
        <f>VLOOKUP(C114,LookupLists!$A$3:$G$60,2,FALSE)</f>
        <v>#N/A</v>
      </c>
      <c r="O114" s="3" t="e">
        <f>VLOOKUP(C114,LookupLists!$A$3:$G$60,3,FALSE)</f>
        <v>#N/A</v>
      </c>
      <c r="P114" s="3" t="e">
        <f>VLOOKUP(C114,LookupLists!$A$3:$G$60,5,FALSE)</f>
        <v>#N/A</v>
      </c>
      <c r="Q114" s="3" t="e">
        <f>VLOOKUP(C114,LookupLists!$A$3:$G$60,6,FALSE)</f>
        <v>#N/A</v>
      </c>
      <c r="R114" s="4" t="e">
        <f>VLOOKUP(C114,LookupLists!$A$3:$G$60,7,FALSE)</f>
        <v>#N/A</v>
      </c>
      <c r="S114" s="3" t="e">
        <f>VLOOKUP(D114,LookupLists!$N$4:$T$60,1,FALSE)</f>
        <v>#N/A</v>
      </c>
      <c r="T114" s="3" t="e">
        <f>VLOOKUP(D114,LookupLists!$N$4:$T$60,2,FALSE)</f>
        <v>#N/A</v>
      </c>
      <c r="U114" s="3" t="e">
        <f>VLOOKUP(D114,LookupLists!$N$4:$T$60,3,FALSE)</f>
        <v>#N/A</v>
      </c>
      <c r="V114" s="3" t="e">
        <f>VLOOKUP(D114,LookupLists!$N$4:$T$60,5,FALSE)</f>
        <v>#N/A</v>
      </c>
    </row>
    <row r="115" spans="5:22" x14ac:dyDescent="0.3">
      <c r="E115" s="3" t="str">
        <f t="shared" si="1"/>
        <v/>
      </c>
      <c r="F115" s="3" t="str">
        <f xml:space="preserve"> IF(E115="","",  IFERROR(VLOOKUP(D115,LookupLists!$N$3:$T$60,6,FALSE)-LEN(E115),0))</f>
        <v/>
      </c>
      <c r="G115" s="3" t="str">
        <f>IF(E115="","",IFERROR(matches(E115,VLOOKUP(D115,LookupLists!$N$3:$T$60,7,FALSE)),FALSE))</f>
        <v/>
      </c>
      <c r="H115" s="3" t="e">
        <f>VLOOKUP(A115,LookupLists!$I$3:$L$60,1,FALSE)</f>
        <v>#N/A</v>
      </c>
      <c r="I115" s="3" t="e">
        <f>VLOOKUP(A115,LookupLists!$I$3:$L$60,2,FALSE)</f>
        <v>#N/A</v>
      </c>
      <c r="J115" s="3" t="e">
        <f>VLOOKUP(A115,LookupLists!$I$3:$L$60,3,FALSE)</f>
        <v>#N/A</v>
      </c>
      <c r="K115" s="3" t="e">
        <f>VLOOKUP(A115,LookupLists!$I$3:$L$60,4,FALSE)</f>
        <v>#N/A</v>
      </c>
      <c r="L115" s="3" t="e">
        <f>VLOOKUP(C115,LookupLists!$A$3:$G$60,1,FALSE)</f>
        <v>#N/A</v>
      </c>
      <c r="M115" s="3" t="e">
        <f>VLOOKUP(C115,LookupLists!$A$3:$G$60,4,FALSE)</f>
        <v>#N/A</v>
      </c>
      <c r="N115" s="3" t="e">
        <f>VLOOKUP(C115,LookupLists!$A$3:$G$60,2,FALSE)</f>
        <v>#N/A</v>
      </c>
      <c r="O115" s="3" t="e">
        <f>VLOOKUP(C115,LookupLists!$A$3:$G$60,3,FALSE)</f>
        <v>#N/A</v>
      </c>
      <c r="P115" s="3" t="e">
        <f>VLOOKUP(C115,LookupLists!$A$3:$G$60,5,FALSE)</f>
        <v>#N/A</v>
      </c>
      <c r="Q115" s="3" t="e">
        <f>VLOOKUP(C115,LookupLists!$A$3:$G$60,6,FALSE)</f>
        <v>#N/A</v>
      </c>
      <c r="R115" s="4" t="e">
        <f>VLOOKUP(C115,LookupLists!$A$3:$G$60,7,FALSE)</f>
        <v>#N/A</v>
      </c>
      <c r="S115" s="3" t="e">
        <f>VLOOKUP(D115,LookupLists!$N$4:$T$60,1,FALSE)</f>
        <v>#N/A</v>
      </c>
      <c r="T115" s="3" t="e">
        <f>VLOOKUP(D115,LookupLists!$N$4:$T$60,2,FALSE)</f>
        <v>#N/A</v>
      </c>
      <c r="U115" s="3" t="e">
        <f>VLOOKUP(D115,LookupLists!$N$4:$T$60,3,FALSE)</f>
        <v>#N/A</v>
      </c>
      <c r="V115" s="3" t="e">
        <f>VLOOKUP(D115,LookupLists!$N$4:$T$60,5,FALSE)</f>
        <v>#N/A</v>
      </c>
    </row>
    <row r="116" spans="5:22" x14ac:dyDescent="0.3">
      <c r="E116" s="3" t="str">
        <f t="shared" si="1"/>
        <v/>
      </c>
      <c r="F116" s="3" t="str">
        <f xml:space="preserve"> IF(E116="","",  IFERROR(VLOOKUP(D116,LookupLists!$N$3:$T$60,6,FALSE)-LEN(E116),0))</f>
        <v/>
      </c>
      <c r="G116" s="3" t="str">
        <f>IF(E116="","",IFERROR(matches(E116,VLOOKUP(D116,LookupLists!$N$3:$T$60,7,FALSE)),FALSE))</f>
        <v/>
      </c>
      <c r="H116" s="3" t="e">
        <f>VLOOKUP(A116,LookupLists!$I$3:$L$60,1,FALSE)</f>
        <v>#N/A</v>
      </c>
      <c r="I116" s="3" t="e">
        <f>VLOOKUP(A116,LookupLists!$I$3:$L$60,2,FALSE)</f>
        <v>#N/A</v>
      </c>
      <c r="J116" s="3" t="e">
        <f>VLOOKUP(A116,LookupLists!$I$3:$L$60,3,FALSE)</f>
        <v>#N/A</v>
      </c>
      <c r="K116" s="3" t="e">
        <f>VLOOKUP(A116,LookupLists!$I$3:$L$60,4,FALSE)</f>
        <v>#N/A</v>
      </c>
      <c r="L116" s="3" t="e">
        <f>VLOOKUP(C116,LookupLists!$A$3:$G$60,1,FALSE)</f>
        <v>#N/A</v>
      </c>
      <c r="M116" s="3" t="e">
        <f>VLOOKUP(C116,LookupLists!$A$3:$G$60,4,FALSE)</f>
        <v>#N/A</v>
      </c>
      <c r="N116" s="3" t="e">
        <f>VLOOKUP(C116,LookupLists!$A$3:$G$60,2,FALSE)</f>
        <v>#N/A</v>
      </c>
      <c r="O116" s="3" t="e">
        <f>VLOOKUP(C116,LookupLists!$A$3:$G$60,3,FALSE)</f>
        <v>#N/A</v>
      </c>
      <c r="P116" s="3" t="e">
        <f>VLOOKUP(C116,LookupLists!$A$3:$G$60,5,FALSE)</f>
        <v>#N/A</v>
      </c>
      <c r="Q116" s="3" t="e">
        <f>VLOOKUP(C116,LookupLists!$A$3:$G$60,6,FALSE)</f>
        <v>#N/A</v>
      </c>
      <c r="R116" s="4" t="e">
        <f>VLOOKUP(C116,LookupLists!$A$3:$G$60,7,FALSE)</f>
        <v>#N/A</v>
      </c>
      <c r="S116" s="3" t="e">
        <f>VLOOKUP(D116,LookupLists!$N$4:$T$60,1,FALSE)</f>
        <v>#N/A</v>
      </c>
      <c r="T116" s="3" t="e">
        <f>VLOOKUP(D116,LookupLists!$N$4:$T$60,2,FALSE)</f>
        <v>#N/A</v>
      </c>
      <c r="U116" s="3" t="e">
        <f>VLOOKUP(D116,LookupLists!$N$4:$T$60,3,FALSE)</f>
        <v>#N/A</v>
      </c>
      <c r="V116" s="3" t="e">
        <f>VLOOKUP(D116,LookupLists!$N$4:$T$60,5,FALSE)</f>
        <v>#N/A</v>
      </c>
    </row>
    <row r="117" spans="5:22" x14ac:dyDescent="0.3">
      <c r="E117" s="3" t="str">
        <f t="shared" si="1"/>
        <v/>
      </c>
      <c r="F117" s="3" t="str">
        <f xml:space="preserve"> IF(E117="","",  IFERROR(VLOOKUP(D117,LookupLists!$N$3:$T$60,6,FALSE)-LEN(E117),0))</f>
        <v/>
      </c>
      <c r="G117" s="3" t="str">
        <f>IF(E117="","",IFERROR(matches(E117,VLOOKUP(D117,LookupLists!$N$3:$T$60,7,FALSE)),FALSE))</f>
        <v/>
      </c>
      <c r="H117" s="3" t="e">
        <f>VLOOKUP(A117,LookupLists!$I$3:$L$60,1,FALSE)</f>
        <v>#N/A</v>
      </c>
      <c r="I117" s="3" t="e">
        <f>VLOOKUP(A117,LookupLists!$I$3:$L$60,2,FALSE)</f>
        <v>#N/A</v>
      </c>
      <c r="J117" s="3" t="e">
        <f>VLOOKUP(A117,LookupLists!$I$3:$L$60,3,FALSE)</f>
        <v>#N/A</v>
      </c>
      <c r="K117" s="3" t="e">
        <f>VLOOKUP(A117,LookupLists!$I$3:$L$60,4,FALSE)</f>
        <v>#N/A</v>
      </c>
      <c r="L117" s="3" t="e">
        <f>VLOOKUP(C117,LookupLists!$A$3:$G$60,1,FALSE)</f>
        <v>#N/A</v>
      </c>
      <c r="M117" s="3" t="e">
        <f>VLOOKUP(C117,LookupLists!$A$3:$G$60,4,FALSE)</f>
        <v>#N/A</v>
      </c>
      <c r="N117" s="3" t="e">
        <f>VLOOKUP(C117,LookupLists!$A$3:$G$60,2,FALSE)</f>
        <v>#N/A</v>
      </c>
      <c r="O117" s="3" t="e">
        <f>VLOOKUP(C117,LookupLists!$A$3:$G$60,3,FALSE)</f>
        <v>#N/A</v>
      </c>
      <c r="P117" s="3" t="e">
        <f>VLOOKUP(C117,LookupLists!$A$3:$G$60,5,FALSE)</f>
        <v>#N/A</v>
      </c>
      <c r="Q117" s="3" t="e">
        <f>VLOOKUP(C117,LookupLists!$A$3:$G$60,6,FALSE)</f>
        <v>#N/A</v>
      </c>
      <c r="R117" s="4" t="e">
        <f>VLOOKUP(C117,LookupLists!$A$3:$G$60,7,FALSE)</f>
        <v>#N/A</v>
      </c>
      <c r="S117" s="3" t="e">
        <f>VLOOKUP(D117,LookupLists!$N$4:$T$60,1,FALSE)</f>
        <v>#N/A</v>
      </c>
      <c r="T117" s="3" t="e">
        <f>VLOOKUP(D117,LookupLists!$N$4:$T$60,2,FALSE)</f>
        <v>#N/A</v>
      </c>
      <c r="U117" s="3" t="e">
        <f>VLOOKUP(D117,LookupLists!$N$4:$T$60,3,FALSE)</f>
        <v>#N/A</v>
      </c>
      <c r="V117" s="3" t="e">
        <f>VLOOKUP(D117,LookupLists!$N$4:$T$60,5,FALSE)</f>
        <v>#N/A</v>
      </c>
    </row>
    <row r="118" spans="5:22" x14ac:dyDescent="0.3">
      <c r="E118" s="3" t="str">
        <f t="shared" si="1"/>
        <v/>
      </c>
      <c r="F118" s="3" t="str">
        <f xml:space="preserve"> IF(E118="","",  IFERROR(VLOOKUP(D118,LookupLists!$N$3:$T$60,6,FALSE)-LEN(E118),0))</f>
        <v/>
      </c>
      <c r="G118" s="3" t="str">
        <f>IF(E118="","",IFERROR(matches(E118,VLOOKUP(D118,LookupLists!$N$3:$T$60,7,FALSE)),FALSE))</f>
        <v/>
      </c>
      <c r="H118" s="3" t="e">
        <f>VLOOKUP(A118,LookupLists!$I$3:$L$60,1,FALSE)</f>
        <v>#N/A</v>
      </c>
      <c r="I118" s="3" t="e">
        <f>VLOOKUP(A118,LookupLists!$I$3:$L$60,2,FALSE)</f>
        <v>#N/A</v>
      </c>
      <c r="J118" s="3" t="e">
        <f>VLOOKUP(A118,LookupLists!$I$3:$L$60,3,FALSE)</f>
        <v>#N/A</v>
      </c>
      <c r="K118" s="3" t="e">
        <f>VLOOKUP(A118,LookupLists!$I$3:$L$60,4,FALSE)</f>
        <v>#N/A</v>
      </c>
      <c r="L118" s="3" t="e">
        <f>VLOOKUP(C118,LookupLists!$A$3:$G$60,1,FALSE)</f>
        <v>#N/A</v>
      </c>
      <c r="M118" s="3" t="e">
        <f>VLOOKUP(C118,LookupLists!$A$3:$G$60,4,FALSE)</f>
        <v>#N/A</v>
      </c>
      <c r="N118" s="3" t="e">
        <f>VLOOKUP(C118,LookupLists!$A$3:$G$60,2,FALSE)</f>
        <v>#N/A</v>
      </c>
      <c r="O118" s="3" t="e">
        <f>VLOOKUP(C118,LookupLists!$A$3:$G$60,3,FALSE)</f>
        <v>#N/A</v>
      </c>
      <c r="P118" s="3" t="e">
        <f>VLOOKUP(C118,LookupLists!$A$3:$G$60,5,FALSE)</f>
        <v>#N/A</v>
      </c>
      <c r="Q118" s="3" t="e">
        <f>VLOOKUP(C118,LookupLists!$A$3:$G$60,6,FALSE)</f>
        <v>#N/A</v>
      </c>
      <c r="R118" s="4" t="e">
        <f>VLOOKUP(C118,LookupLists!$A$3:$G$60,7,FALSE)</f>
        <v>#N/A</v>
      </c>
      <c r="S118" s="3" t="e">
        <f>VLOOKUP(D118,LookupLists!$N$4:$T$60,1,FALSE)</f>
        <v>#N/A</v>
      </c>
      <c r="T118" s="3" t="e">
        <f>VLOOKUP(D118,LookupLists!$N$4:$T$60,2,FALSE)</f>
        <v>#N/A</v>
      </c>
      <c r="U118" s="3" t="e">
        <f>VLOOKUP(D118,LookupLists!$N$4:$T$60,3,FALSE)</f>
        <v>#N/A</v>
      </c>
      <c r="V118" s="3" t="e">
        <f>VLOOKUP(D118,LookupLists!$N$4:$T$60,5,FALSE)</f>
        <v>#N/A</v>
      </c>
    </row>
    <row r="119" spans="5:22" x14ac:dyDescent="0.3">
      <c r="E119" s="3" t="str">
        <f t="shared" si="1"/>
        <v/>
      </c>
      <c r="F119" s="3" t="str">
        <f xml:space="preserve"> IF(E119="","",  IFERROR(VLOOKUP(D119,LookupLists!$N$3:$T$60,6,FALSE)-LEN(E119),0))</f>
        <v/>
      </c>
      <c r="G119" s="3" t="str">
        <f>IF(E119="","",IFERROR(matches(E119,VLOOKUP(D119,LookupLists!$N$3:$T$60,7,FALSE)),FALSE))</f>
        <v/>
      </c>
      <c r="H119" s="3" t="e">
        <f>VLOOKUP(A119,LookupLists!$I$3:$L$60,1,FALSE)</f>
        <v>#N/A</v>
      </c>
      <c r="I119" s="3" t="e">
        <f>VLOOKUP(A119,LookupLists!$I$3:$L$60,2,FALSE)</f>
        <v>#N/A</v>
      </c>
      <c r="J119" s="3" t="e">
        <f>VLOOKUP(A119,LookupLists!$I$3:$L$60,3,FALSE)</f>
        <v>#N/A</v>
      </c>
      <c r="K119" s="3" t="e">
        <f>VLOOKUP(A119,LookupLists!$I$3:$L$60,4,FALSE)</f>
        <v>#N/A</v>
      </c>
      <c r="L119" s="3" t="e">
        <f>VLOOKUP(C119,LookupLists!$A$3:$G$60,1,FALSE)</f>
        <v>#N/A</v>
      </c>
      <c r="M119" s="3" t="e">
        <f>VLOOKUP(C119,LookupLists!$A$3:$G$60,4,FALSE)</f>
        <v>#N/A</v>
      </c>
      <c r="N119" s="3" t="e">
        <f>VLOOKUP(C119,LookupLists!$A$3:$G$60,2,FALSE)</f>
        <v>#N/A</v>
      </c>
      <c r="O119" s="3" t="e">
        <f>VLOOKUP(C119,LookupLists!$A$3:$G$60,3,FALSE)</f>
        <v>#N/A</v>
      </c>
      <c r="P119" s="3" t="e">
        <f>VLOOKUP(C119,LookupLists!$A$3:$G$60,5,FALSE)</f>
        <v>#N/A</v>
      </c>
      <c r="Q119" s="3" t="e">
        <f>VLOOKUP(C119,LookupLists!$A$3:$G$60,6,FALSE)</f>
        <v>#N/A</v>
      </c>
      <c r="R119" s="4" t="e">
        <f>VLOOKUP(C119,LookupLists!$A$3:$G$60,7,FALSE)</f>
        <v>#N/A</v>
      </c>
      <c r="S119" s="3" t="e">
        <f>VLOOKUP(D119,LookupLists!$N$4:$T$60,1,FALSE)</f>
        <v>#N/A</v>
      </c>
      <c r="T119" s="3" t="e">
        <f>VLOOKUP(D119,LookupLists!$N$4:$T$60,2,FALSE)</f>
        <v>#N/A</v>
      </c>
      <c r="U119" s="3" t="e">
        <f>VLOOKUP(D119,LookupLists!$N$4:$T$60,3,FALSE)</f>
        <v>#N/A</v>
      </c>
      <c r="V119" s="3" t="e">
        <f>VLOOKUP(D119,LookupLists!$N$4:$T$60,5,FALSE)</f>
        <v>#N/A</v>
      </c>
    </row>
    <row r="120" spans="5:22" x14ac:dyDescent="0.3">
      <c r="E120" s="3" t="str">
        <f t="shared" si="1"/>
        <v/>
      </c>
      <c r="F120" s="3" t="str">
        <f xml:space="preserve"> IF(E120="","",  IFERROR(VLOOKUP(D120,LookupLists!$N$3:$T$60,6,FALSE)-LEN(E120),0))</f>
        <v/>
      </c>
      <c r="G120" s="3" t="str">
        <f>IF(E120="","",IFERROR(matches(E120,VLOOKUP(D120,LookupLists!$N$3:$T$60,7,FALSE)),FALSE))</f>
        <v/>
      </c>
      <c r="H120" s="3" t="e">
        <f>VLOOKUP(A120,LookupLists!$I$3:$L$60,1,FALSE)</f>
        <v>#N/A</v>
      </c>
      <c r="I120" s="3" t="e">
        <f>VLOOKUP(A120,LookupLists!$I$3:$L$60,2,FALSE)</f>
        <v>#N/A</v>
      </c>
      <c r="J120" s="3" t="e">
        <f>VLOOKUP(A120,LookupLists!$I$3:$L$60,3,FALSE)</f>
        <v>#N/A</v>
      </c>
      <c r="K120" s="3" t="e">
        <f>VLOOKUP(A120,LookupLists!$I$3:$L$60,4,FALSE)</f>
        <v>#N/A</v>
      </c>
      <c r="L120" s="3" t="e">
        <f>VLOOKUP(C120,LookupLists!$A$3:$G$60,1,FALSE)</f>
        <v>#N/A</v>
      </c>
      <c r="M120" s="3" t="e">
        <f>VLOOKUP(C120,LookupLists!$A$3:$G$60,4,FALSE)</f>
        <v>#N/A</v>
      </c>
      <c r="N120" s="3" t="e">
        <f>VLOOKUP(C120,LookupLists!$A$3:$G$60,2,FALSE)</f>
        <v>#N/A</v>
      </c>
      <c r="O120" s="3" t="e">
        <f>VLOOKUP(C120,LookupLists!$A$3:$G$60,3,FALSE)</f>
        <v>#N/A</v>
      </c>
      <c r="P120" s="3" t="e">
        <f>VLOOKUP(C120,LookupLists!$A$3:$G$60,5,FALSE)</f>
        <v>#N/A</v>
      </c>
      <c r="Q120" s="3" t="e">
        <f>VLOOKUP(C120,LookupLists!$A$3:$G$60,6,FALSE)</f>
        <v>#N/A</v>
      </c>
      <c r="R120" s="4" t="e">
        <f>VLOOKUP(C120,LookupLists!$A$3:$G$60,7,FALSE)</f>
        <v>#N/A</v>
      </c>
      <c r="S120" s="3" t="e">
        <f>VLOOKUP(D120,LookupLists!$N$4:$T$60,1,FALSE)</f>
        <v>#N/A</v>
      </c>
      <c r="T120" s="3" t="e">
        <f>VLOOKUP(D120,LookupLists!$N$4:$T$60,2,FALSE)</f>
        <v>#N/A</v>
      </c>
      <c r="U120" s="3" t="e">
        <f>VLOOKUP(D120,LookupLists!$N$4:$T$60,3,FALSE)</f>
        <v>#N/A</v>
      </c>
      <c r="V120" s="3" t="e">
        <f>VLOOKUP(D120,LookupLists!$N$4:$T$60,5,FALSE)</f>
        <v>#N/A</v>
      </c>
    </row>
    <row r="121" spans="5:22" x14ac:dyDescent="0.3">
      <c r="E121" s="3" t="str">
        <f t="shared" si="1"/>
        <v/>
      </c>
      <c r="F121" s="3" t="str">
        <f xml:space="preserve"> IF(E121="","",  IFERROR(VLOOKUP(D121,LookupLists!$N$3:$T$60,6,FALSE)-LEN(E121),0))</f>
        <v/>
      </c>
      <c r="G121" s="3" t="str">
        <f>IF(E121="","",IFERROR(matches(E121,VLOOKUP(D121,LookupLists!$N$3:$T$60,7,FALSE)),FALSE))</f>
        <v/>
      </c>
      <c r="H121" s="3" t="e">
        <f>VLOOKUP(A121,LookupLists!$I$3:$L$60,1,FALSE)</f>
        <v>#N/A</v>
      </c>
      <c r="I121" s="3" t="e">
        <f>VLOOKUP(A121,LookupLists!$I$3:$L$60,2,FALSE)</f>
        <v>#N/A</v>
      </c>
      <c r="J121" s="3" t="e">
        <f>VLOOKUP(A121,LookupLists!$I$3:$L$60,3,FALSE)</f>
        <v>#N/A</v>
      </c>
      <c r="K121" s="3" t="e">
        <f>VLOOKUP(A121,LookupLists!$I$3:$L$60,4,FALSE)</f>
        <v>#N/A</v>
      </c>
      <c r="L121" s="3" t="e">
        <f>VLOOKUP(C121,LookupLists!$A$3:$G$60,1,FALSE)</f>
        <v>#N/A</v>
      </c>
      <c r="M121" s="3" t="e">
        <f>VLOOKUP(C121,LookupLists!$A$3:$G$60,4,FALSE)</f>
        <v>#N/A</v>
      </c>
      <c r="N121" s="3" t="e">
        <f>VLOOKUP(C121,LookupLists!$A$3:$G$60,2,FALSE)</f>
        <v>#N/A</v>
      </c>
      <c r="O121" s="3" t="e">
        <f>VLOOKUP(C121,LookupLists!$A$3:$G$60,3,FALSE)</f>
        <v>#N/A</v>
      </c>
      <c r="P121" s="3" t="e">
        <f>VLOOKUP(C121,LookupLists!$A$3:$G$60,5,FALSE)</f>
        <v>#N/A</v>
      </c>
      <c r="Q121" s="3" t="e">
        <f>VLOOKUP(C121,LookupLists!$A$3:$G$60,6,FALSE)</f>
        <v>#N/A</v>
      </c>
      <c r="R121" s="4" t="e">
        <f>VLOOKUP(C121,LookupLists!$A$3:$G$60,7,FALSE)</f>
        <v>#N/A</v>
      </c>
      <c r="S121" s="3" t="e">
        <f>VLOOKUP(D121,LookupLists!$N$4:$T$60,1,FALSE)</f>
        <v>#N/A</v>
      </c>
      <c r="T121" s="3" t="e">
        <f>VLOOKUP(D121,LookupLists!$N$4:$T$60,2,FALSE)</f>
        <v>#N/A</v>
      </c>
      <c r="U121" s="3" t="e">
        <f>VLOOKUP(D121,LookupLists!$N$4:$T$60,3,FALSE)</f>
        <v>#N/A</v>
      </c>
      <c r="V121" s="3" t="e">
        <f>VLOOKUP(D121,LookupLists!$N$4:$T$60,5,FALSE)</f>
        <v>#N/A</v>
      </c>
    </row>
    <row r="122" spans="5:22" x14ac:dyDescent="0.3">
      <c r="E122" s="3" t="str">
        <f t="shared" si="1"/>
        <v/>
      </c>
      <c r="F122" s="3" t="str">
        <f xml:space="preserve"> IF(E122="","",  IFERROR(VLOOKUP(D122,LookupLists!$N$3:$T$60,6,FALSE)-LEN(E122),0))</f>
        <v/>
      </c>
      <c r="G122" s="3" t="str">
        <f>IF(E122="","",IFERROR(matches(E122,VLOOKUP(D122,LookupLists!$N$3:$T$60,7,FALSE)),FALSE))</f>
        <v/>
      </c>
      <c r="H122" s="3" t="e">
        <f>VLOOKUP(A122,LookupLists!$I$3:$L$60,1,FALSE)</f>
        <v>#N/A</v>
      </c>
      <c r="I122" s="3" t="e">
        <f>VLOOKUP(A122,LookupLists!$I$3:$L$60,2,FALSE)</f>
        <v>#N/A</v>
      </c>
      <c r="J122" s="3" t="e">
        <f>VLOOKUP(A122,LookupLists!$I$3:$L$60,3,FALSE)</f>
        <v>#N/A</v>
      </c>
      <c r="K122" s="3" t="e">
        <f>VLOOKUP(A122,LookupLists!$I$3:$L$60,4,FALSE)</f>
        <v>#N/A</v>
      </c>
      <c r="L122" s="3" t="e">
        <f>VLOOKUP(C122,LookupLists!$A$3:$G$60,1,FALSE)</f>
        <v>#N/A</v>
      </c>
      <c r="M122" s="3" t="e">
        <f>VLOOKUP(C122,LookupLists!$A$3:$G$60,4,FALSE)</f>
        <v>#N/A</v>
      </c>
      <c r="N122" s="3" t="e">
        <f>VLOOKUP(C122,LookupLists!$A$3:$G$60,2,FALSE)</f>
        <v>#N/A</v>
      </c>
      <c r="O122" s="3" t="e">
        <f>VLOOKUP(C122,LookupLists!$A$3:$G$60,3,FALSE)</f>
        <v>#N/A</v>
      </c>
      <c r="P122" s="3" t="e">
        <f>VLOOKUP(C122,LookupLists!$A$3:$G$60,5,FALSE)</f>
        <v>#N/A</v>
      </c>
      <c r="Q122" s="3" t="e">
        <f>VLOOKUP(C122,LookupLists!$A$3:$G$60,6,FALSE)</f>
        <v>#N/A</v>
      </c>
      <c r="R122" s="4" t="e">
        <f>VLOOKUP(C122,LookupLists!$A$3:$G$60,7,FALSE)</f>
        <v>#N/A</v>
      </c>
      <c r="S122" s="3" t="e">
        <f>VLOOKUP(D122,LookupLists!$N$4:$T$60,1,FALSE)</f>
        <v>#N/A</v>
      </c>
      <c r="T122" s="3" t="e">
        <f>VLOOKUP(D122,LookupLists!$N$4:$T$60,2,FALSE)</f>
        <v>#N/A</v>
      </c>
      <c r="U122" s="3" t="e">
        <f>VLOOKUP(D122,LookupLists!$N$4:$T$60,3,FALSE)</f>
        <v>#N/A</v>
      </c>
      <c r="V122" s="3" t="e">
        <f>VLOOKUP(D122,LookupLists!$N$4:$T$60,5,FALSE)</f>
        <v>#N/A</v>
      </c>
    </row>
    <row r="123" spans="5:22" x14ac:dyDescent="0.3">
      <c r="E123" s="3" t="str">
        <f t="shared" si="1"/>
        <v/>
      </c>
      <c r="F123" s="3" t="str">
        <f xml:space="preserve"> IF(E123="","",  IFERROR(VLOOKUP(D123,LookupLists!$N$3:$T$60,6,FALSE)-LEN(E123),0))</f>
        <v/>
      </c>
      <c r="G123" s="3" t="str">
        <f>IF(E123="","",IFERROR(matches(E123,VLOOKUP(D123,LookupLists!$N$3:$T$60,7,FALSE)),FALSE))</f>
        <v/>
      </c>
      <c r="H123" s="3" t="e">
        <f>VLOOKUP(A123,LookupLists!$I$3:$L$60,1,FALSE)</f>
        <v>#N/A</v>
      </c>
      <c r="I123" s="3" t="e">
        <f>VLOOKUP(A123,LookupLists!$I$3:$L$60,2,FALSE)</f>
        <v>#N/A</v>
      </c>
      <c r="J123" s="3" t="e">
        <f>VLOOKUP(A123,LookupLists!$I$3:$L$60,3,FALSE)</f>
        <v>#N/A</v>
      </c>
      <c r="K123" s="3" t="e">
        <f>VLOOKUP(A123,LookupLists!$I$3:$L$60,4,FALSE)</f>
        <v>#N/A</v>
      </c>
      <c r="L123" s="3" t="e">
        <f>VLOOKUP(C123,LookupLists!$A$3:$G$60,1,FALSE)</f>
        <v>#N/A</v>
      </c>
      <c r="M123" s="3" t="e">
        <f>VLOOKUP(C123,LookupLists!$A$3:$G$60,4,FALSE)</f>
        <v>#N/A</v>
      </c>
      <c r="N123" s="3" t="e">
        <f>VLOOKUP(C123,LookupLists!$A$3:$G$60,2,FALSE)</f>
        <v>#N/A</v>
      </c>
      <c r="O123" s="3" t="e">
        <f>VLOOKUP(C123,LookupLists!$A$3:$G$60,3,FALSE)</f>
        <v>#N/A</v>
      </c>
      <c r="P123" s="3" t="e">
        <f>VLOOKUP(C123,LookupLists!$A$3:$G$60,5,FALSE)</f>
        <v>#N/A</v>
      </c>
      <c r="Q123" s="3" t="e">
        <f>VLOOKUP(C123,LookupLists!$A$3:$G$60,6,FALSE)</f>
        <v>#N/A</v>
      </c>
      <c r="R123" s="4" t="e">
        <f>VLOOKUP(C123,LookupLists!$A$3:$G$60,7,FALSE)</f>
        <v>#N/A</v>
      </c>
      <c r="S123" s="3" t="e">
        <f>VLOOKUP(D123,LookupLists!$N$4:$T$60,1,FALSE)</f>
        <v>#N/A</v>
      </c>
      <c r="T123" s="3" t="e">
        <f>VLOOKUP(D123,LookupLists!$N$4:$T$60,2,FALSE)</f>
        <v>#N/A</v>
      </c>
      <c r="U123" s="3" t="e">
        <f>VLOOKUP(D123,LookupLists!$N$4:$T$60,3,FALSE)</f>
        <v>#N/A</v>
      </c>
      <c r="V123" s="3" t="e">
        <f>VLOOKUP(D123,LookupLists!$N$4:$T$60,5,FALSE)</f>
        <v>#N/A</v>
      </c>
    </row>
    <row r="124" spans="5:22" x14ac:dyDescent="0.3">
      <c r="E124" s="3" t="str">
        <f t="shared" si="1"/>
        <v/>
      </c>
      <c r="F124" s="3" t="str">
        <f xml:space="preserve"> IF(E124="","",  IFERROR(VLOOKUP(D124,LookupLists!$N$3:$T$60,6,FALSE)-LEN(E124),0))</f>
        <v/>
      </c>
      <c r="G124" s="3" t="str">
        <f>IF(E124="","",IFERROR(matches(E124,VLOOKUP(D124,LookupLists!$N$3:$T$60,7,FALSE)),FALSE))</f>
        <v/>
      </c>
      <c r="H124" s="3" t="e">
        <f>VLOOKUP(A124,LookupLists!$I$3:$L$60,1,FALSE)</f>
        <v>#N/A</v>
      </c>
      <c r="I124" s="3" t="e">
        <f>VLOOKUP(A124,LookupLists!$I$3:$L$60,2,FALSE)</f>
        <v>#N/A</v>
      </c>
      <c r="J124" s="3" t="e">
        <f>VLOOKUP(A124,LookupLists!$I$3:$L$60,3,FALSE)</f>
        <v>#N/A</v>
      </c>
      <c r="K124" s="3" t="e">
        <f>VLOOKUP(A124,LookupLists!$I$3:$L$60,4,FALSE)</f>
        <v>#N/A</v>
      </c>
      <c r="L124" s="3" t="e">
        <f>VLOOKUP(C124,LookupLists!$A$3:$G$60,1,FALSE)</f>
        <v>#N/A</v>
      </c>
      <c r="M124" s="3" t="e">
        <f>VLOOKUP(C124,LookupLists!$A$3:$G$60,4,FALSE)</f>
        <v>#N/A</v>
      </c>
      <c r="N124" s="3" t="e">
        <f>VLOOKUP(C124,LookupLists!$A$3:$G$60,2,FALSE)</f>
        <v>#N/A</v>
      </c>
      <c r="O124" s="3" t="e">
        <f>VLOOKUP(C124,LookupLists!$A$3:$G$60,3,FALSE)</f>
        <v>#N/A</v>
      </c>
      <c r="P124" s="3" t="e">
        <f>VLOOKUP(C124,LookupLists!$A$3:$G$60,5,FALSE)</f>
        <v>#N/A</v>
      </c>
      <c r="Q124" s="3" t="e">
        <f>VLOOKUP(C124,LookupLists!$A$3:$G$60,6,FALSE)</f>
        <v>#N/A</v>
      </c>
      <c r="R124" s="4" t="e">
        <f>VLOOKUP(C124,LookupLists!$A$3:$G$60,7,FALSE)</f>
        <v>#N/A</v>
      </c>
      <c r="S124" s="3" t="e">
        <f>VLOOKUP(D124,LookupLists!$N$4:$T$60,1,FALSE)</f>
        <v>#N/A</v>
      </c>
      <c r="T124" s="3" t="e">
        <f>VLOOKUP(D124,LookupLists!$N$4:$T$60,2,FALSE)</f>
        <v>#N/A</v>
      </c>
      <c r="U124" s="3" t="e">
        <f>VLOOKUP(D124,LookupLists!$N$4:$T$60,3,FALSE)</f>
        <v>#N/A</v>
      </c>
      <c r="V124" s="3" t="e">
        <f>VLOOKUP(D124,LookupLists!$N$4:$T$60,5,FALSE)</f>
        <v>#N/A</v>
      </c>
    </row>
    <row r="125" spans="5:22" x14ac:dyDescent="0.3">
      <c r="E125" s="3" t="str">
        <f t="shared" si="1"/>
        <v/>
      </c>
      <c r="F125" s="3" t="str">
        <f xml:space="preserve"> IF(E125="","",  IFERROR(VLOOKUP(D125,LookupLists!$N$3:$T$60,6,FALSE)-LEN(E125),0))</f>
        <v/>
      </c>
      <c r="G125" s="3" t="str">
        <f>IF(E125="","",IFERROR(matches(E125,VLOOKUP(D125,LookupLists!$N$3:$T$60,7,FALSE)),FALSE))</f>
        <v/>
      </c>
      <c r="H125" s="3" t="e">
        <f>VLOOKUP(A125,LookupLists!$I$3:$L$60,1,FALSE)</f>
        <v>#N/A</v>
      </c>
      <c r="I125" s="3" t="e">
        <f>VLOOKUP(A125,LookupLists!$I$3:$L$60,2,FALSE)</f>
        <v>#N/A</v>
      </c>
      <c r="J125" s="3" t="e">
        <f>VLOOKUP(A125,LookupLists!$I$3:$L$60,3,FALSE)</f>
        <v>#N/A</v>
      </c>
      <c r="K125" s="3" t="e">
        <f>VLOOKUP(A125,LookupLists!$I$3:$L$60,4,FALSE)</f>
        <v>#N/A</v>
      </c>
      <c r="L125" s="3" t="e">
        <f>VLOOKUP(C125,LookupLists!$A$3:$G$60,1,FALSE)</f>
        <v>#N/A</v>
      </c>
      <c r="M125" s="3" t="e">
        <f>VLOOKUP(C125,LookupLists!$A$3:$G$60,4,FALSE)</f>
        <v>#N/A</v>
      </c>
      <c r="N125" s="3" t="e">
        <f>VLOOKUP(C125,LookupLists!$A$3:$G$60,2,FALSE)</f>
        <v>#N/A</v>
      </c>
      <c r="O125" s="3" t="e">
        <f>VLOOKUP(C125,LookupLists!$A$3:$G$60,3,FALSE)</f>
        <v>#N/A</v>
      </c>
      <c r="P125" s="3" t="e">
        <f>VLOOKUP(C125,LookupLists!$A$3:$G$60,5,FALSE)</f>
        <v>#N/A</v>
      </c>
      <c r="Q125" s="3" t="e">
        <f>VLOOKUP(C125,LookupLists!$A$3:$G$60,6,FALSE)</f>
        <v>#N/A</v>
      </c>
      <c r="R125" s="4" t="e">
        <f>VLOOKUP(C125,LookupLists!$A$3:$G$60,7,FALSE)</f>
        <v>#N/A</v>
      </c>
      <c r="S125" s="3" t="e">
        <f>VLOOKUP(D125,LookupLists!$N$4:$T$60,1,FALSE)</f>
        <v>#N/A</v>
      </c>
      <c r="T125" s="3" t="e">
        <f>VLOOKUP(D125,LookupLists!$N$4:$T$60,2,FALSE)</f>
        <v>#N/A</v>
      </c>
      <c r="U125" s="3" t="e">
        <f>VLOOKUP(D125,LookupLists!$N$4:$T$60,3,FALSE)</f>
        <v>#N/A</v>
      </c>
      <c r="V125" s="3" t="e">
        <f>VLOOKUP(D125,LookupLists!$N$4:$T$60,5,FALSE)</f>
        <v>#N/A</v>
      </c>
    </row>
    <row r="126" spans="5:22" x14ac:dyDescent="0.3">
      <c r="E126" s="3" t="str">
        <f t="shared" si="1"/>
        <v/>
      </c>
      <c r="F126" s="3" t="str">
        <f xml:space="preserve"> IF(E126="","",  IFERROR(VLOOKUP(D126,LookupLists!$N$3:$T$60,6,FALSE)-LEN(E126),0))</f>
        <v/>
      </c>
      <c r="G126" s="3" t="str">
        <f>IF(E126="","",IFERROR(matches(E126,VLOOKUP(D126,LookupLists!$N$3:$T$60,7,FALSE)),FALSE))</f>
        <v/>
      </c>
      <c r="H126" s="3" t="e">
        <f>VLOOKUP(A126,LookupLists!$I$3:$L$60,1,FALSE)</f>
        <v>#N/A</v>
      </c>
      <c r="I126" s="3" t="e">
        <f>VLOOKUP(A126,LookupLists!$I$3:$L$60,2,FALSE)</f>
        <v>#N/A</v>
      </c>
      <c r="J126" s="3" t="e">
        <f>VLOOKUP(A126,LookupLists!$I$3:$L$60,3,FALSE)</f>
        <v>#N/A</v>
      </c>
      <c r="K126" s="3" t="e">
        <f>VLOOKUP(A126,LookupLists!$I$3:$L$60,4,FALSE)</f>
        <v>#N/A</v>
      </c>
      <c r="L126" s="3" t="e">
        <f>VLOOKUP(C126,LookupLists!$A$3:$G$60,1,FALSE)</f>
        <v>#N/A</v>
      </c>
      <c r="M126" s="3" t="e">
        <f>VLOOKUP(C126,LookupLists!$A$3:$G$60,4,FALSE)</f>
        <v>#N/A</v>
      </c>
      <c r="N126" s="3" t="e">
        <f>VLOOKUP(C126,LookupLists!$A$3:$G$60,2,FALSE)</f>
        <v>#N/A</v>
      </c>
      <c r="O126" s="3" t="e">
        <f>VLOOKUP(C126,LookupLists!$A$3:$G$60,3,FALSE)</f>
        <v>#N/A</v>
      </c>
      <c r="P126" s="3" t="e">
        <f>VLOOKUP(C126,LookupLists!$A$3:$G$60,5,FALSE)</f>
        <v>#N/A</v>
      </c>
      <c r="Q126" s="3" t="e">
        <f>VLOOKUP(C126,LookupLists!$A$3:$G$60,6,FALSE)</f>
        <v>#N/A</v>
      </c>
      <c r="R126" s="4" t="e">
        <f>VLOOKUP(C126,LookupLists!$A$3:$G$60,7,FALSE)</f>
        <v>#N/A</v>
      </c>
      <c r="S126" s="3" t="e">
        <f>VLOOKUP(D126,LookupLists!$N$4:$T$60,1,FALSE)</f>
        <v>#N/A</v>
      </c>
      <c r="T126" s="3" t="e">
        <f>VLOOKUP(D126,LookupLists!$N$4:$T$60,2,FALSE)</f>
        <v>#N/A</v>
      </c>
      <c r="U126" s="3" t="e">
        <f>VLOOKUP(D126,LookupLists!$N$4:$T$60,3,FALSE)</f>
        <v>#N/A</v>
      </c>
      <c r="V126" s="3" t="e">
        <f>VLOOKUP(D126,LookupLists!$N$4:$T$60,5,FALSE)</f>
        <v>#N/A</v>
      </c>
    </row>
    <row r="127" spans="5:22" x14ac:dyDescent="0.3">
      <c r="E127" s="3" t="str">
        <f t="shared" si="1"/>
        <v/>
      </c>
      <c r="F127" s="3" t="str">
        <f xml:space="preserve"> IF(E127="","",  IFERROR(VLOOKUP(D127,LookupLists!$N$3:$T$60,6,FALSE)-LEN(E127),0))</f>
        <v/>
      </c>
      <c r="G127" s="3" t="str">
        <f>IF(E127="","",IFERROR(matches(E127,VLOOKUP(D127,LookupLists!$N$3:$T$60,7,FALSE)),FALSE))</f>
        <v/>
      </c>
      <c r="H127" s="3" t="e">
        <f>VLOOKUP(A127,LookupLists!$I$3:$L$60,1,FALSE)</f>
        <v>#N/A</v>
      </c>
      <c r="I127" s="3" t="e">
        <f>VLOOKUP(A127,LookupLists!$I$3:$L$60,2,FALSE)</f>
        <v>#N/A</v>
      </c>
      <c r="J127" s="3" t="e">
        <f>VLOOKUP(A127,LookupLists!$I$3:$L$60,3,FALSE)</f>
        <v>#N/A</v>
      </c>
      <c r="K127" s="3" t="e">
        <f>VLOOKUP(A127,LookupLists!$I$3:$L$60,4,FALSE)</f>
        <v>#N/A</v>
      </c>
      <c r="L127" s="3" t="e">
        <f>VLOOKUP(C127,LookupLists!$A$3:$G$60,1,FALSE)</f>
        <v>#N/A</v>
      </c>
      <c r="M127" s="3" t="e">
        <f>VLOOKUP(C127,LookupLists!$A$3:$G$60,4,FALSE)</f>
        <v>#N/A</v>
      </c>
      <c r="N127" s="3" t="e">
        <f>VLOOKUP(C127,LookupLists!$A$3:$G$60,2,FALSE)</f>
        <v>#N/A</v>
      </c>
      <c r="O127" s="3" t="e">
        <f>VLOOKUP(C127,LookupLists!$A$3:$G$60,3,FALSE)</f>
        <v>#N/A</v>
      </c>
      <c r="P127" s="3" t="e">
        <f>VLOOKUP(C127,LookupLists!$A$3:$G$60,5,FALSE)</f>
        <v>#N/A</v>
      </c>
      <c r="Q127" s="3" t="e">
        <f>VLOOKUP(C127,LookupLists!$A$3:$G$60,6,FALSE)</f>
        <v>#N/A</v>
      </c>
      <c r="R127" s="4" t="e">
        <f>VLOOKUP(C127,LookupLists!$A$3:$G$60,7,FALSE)</f>
        <v>#N/A</v>
      </c>
      <c r="S127" s="3" t="e">
        <f>VLOOKUP(D127,LookupLists!$N$4:$T$60,1,FALSE)</f>
        <v>#N/A</v>
      </c>
      <c r="T127" s="3" t="e">
        <f>VLOOKUP(D127,LookupLists!$N$4:$T$60,2,FALSE)</f>
        <v>#N/A</v>
      </c>
      <c r="U127" s="3" t="e">
        <f>VLOOKUP(D127,LookupLists!$N$4:$T$60,3,FALSE)</f>
        <v>#N/A</v>
      </c>
      <c r="V127" s="3" t="e">
        <f>VLOOKUP(D127,LookupLists!$N$4:$T$60,5,FALSE)</f>
        <v>#N/A</v>
      </c>
    </row>
    <row r="128" spans="5:22" x14ac:dyDescent="0.3">
      <c r="E128" s="3" t="str">
        <f t="shared" si="1"/>
        <v/>
      </c>
      <c r="F128" s="3" t="str">
        <f xml:space="preserve"> IF(E128="","",  IFERROR(VLOOKUP(D128,LookupLists!$N$3:$T$60,6,FALSE)-LEN(E128),0))</f>
        <v/>
      </c>
      <c r="G128" s="3" t="str">
        <f>IF(E128="","",IFERROR(matches(E128,VLOOKUP(D128,LookupLists!$N$3:$T$60,7,FALSE)),FALSE))</f>
        <v/>
      </c>
      <c r="H128" s="3" t="e">
        <f>VLOOKUP(A128,LookupLists!$I$3:$L$60,1,FALSE)</f>
        <v>#N/A</v>
      </c>
      <c r="I128" s="3" t="e">
        <f>VLOOKUP(A128,LookupLists!$I$3:$L$60,2,FALSE)</f>
        <v>#N/A</v>
      </c>
      <c r="J128" s="3" t="e">
        <f>VLOOKUP(A128,LookupLists!$I$3:$L$60,3,FALSE)</f>
        <v>#N/A</v>
      </c>
      <c r="K128" s="3" t="e">
        <f>VLOOKUP(A128,LookupLists!$I$3:$L$60,4,FALSE)</f>
        <v>#N/A</v>
      </c>
      <c r="L128" s="3" t="e">
        <f>VLOOKUP(C128,LookupLists!$A$3:$G$60,1,FALSE)</f>
        <v>#N/A</v>
      </c>
      <c r="M128" s="3" t="e">
        <f>VLOOKUP(C128,LookupLists!$A$3:$G$60,4,FALSE)</f>
        <v>#N/A</v>
      </c>
      <c r="N128" s="3" t="e">
        <f>VLOOKUP(C128,LookupLists!$A$3:$G$60,2,FALSE)</f>
        <v>#N/A</v>
      </c>
      <c r="O128" s="3" t="e">
        <f>VLOOKUP(C128,LookupLists!$A$3:$G$60,3,FALSE)</f>
        <v>#N/A</v>
      </c>
      <c r="P128" s="3" t="e">
        <f>VLOOKUP(C128,LookupLists!$A$3:$G$60,5,FALSE)</f>
        <v>#N/A</v>
      </c>
      <c r="Q128" s="3" t="e">
        <f>VLOOKUP(C128,LookupLists!$A$3:$G$60,6,FALSE)</f>
        <v>#N/A</v>
      </c>
      <c r="R128" s="4" t="e">
        <f>VLOOKUP(C128,LookupLists!$A$3:$G$60,7,FALSE)</f>
        <v>#N/A</v>
      </c>
      <c r="S128" s="3" t="e">
        <f>VLOOKUP(D128,LookupLists!$N$4:$T$60,1,FALSE)</f>
        <v>#N/A</v>
      </c>
      <c r="T128" s="3" t="e">
        <f>VLOOKUP(D128,LookupLists!$N$4:$T$60,2,FALSE)</f>
        <v>#N/A</v>
      </c>
      <c r="U128" s="3" t="e">
        <f>VLOOKUP(D128,LookupLists!$N$4:$T$60,3,FALSE)</f>
        <v>#N/A</v>
      </c>
      <c r="V128" s="3" t="e">
        <f>VLOOKUP(D128,LookupLists!$N$4:$T$60,5,FALSE)</f>
        <v>#N/A</v>
      </c>
    </row>
    <row r="129" spans="5:22" x14ac:dyDescent="0.3">
      <c r="E129" s="3" t="str">
        <f t="shared" si="1"/>
        <v/>
      </c>
      <c r="F129" s="3" t="str">
        <f xml:space="preserve"> IF(E129="","",  IFERROR(VLOOKUP(D129,LookupLists!$N$3:$T$60,6,FALSE)-LEN(E129),0))</f>
        <v/>
      </c>
      <c r="G129" s="3" t="str">
        <f>IF(E129="","",IFERROR(matches(E129,VLOOKUP(D129,LookupLists!$N$3:$T$60,7,FALSE)),FALSE))</f>
        <v/>
      </c>
      <c r="H129" s="3" t="e">
        <f>VLOOKUP(A129,LookupLists!$I$3:$L$60,1,FALSE)</f>
        <v>#N/A</v>
      </c>
      <c r="I129" s="3" t="e">
        <f>VLOOKUP(A129,LookupLists!$I$3:$L$60,2,FALSE)</f>
        <v>#N/A</v>
      </c>
      <c r="J129" s="3" t="e">
        <f>VLOOKUP(A129,LookupLists!$I$3:$L$60,3,FALSE)</f>
        <v>#N/A</v>
      </c>
      <c r="K129" s="3" t="e">
        <f>VLOOKUP(A129,LookupLists!$I$3:$L$60,4,FALSE)</f>
        <v>#N/A</v>
      </c>
      <c r="L129" s="3" t="e">
        <f>VLOOKUP(C129,LookupLists!$A$3:$G$60,1,FALSE)</f>
        <v>#N/A</v>
      </c>
      <c r="M129" s="3" t="e">
        <f>VLOOKUP(C129,LookupLists!$A$3:$G$60,4,FALSE)</f>
        <v>#N/A</v>
      </c>
      <c r="N129" s="3" t="e">
        <f>VLOOKUP(C129,LookupLists!$A$3:$G$60,2,FALSE)</f>
        <v>#N/A</v>
      </c>
      <c r="O129" s="3" t="e">
        <f>VLOOKUP(C129,LookupLists!$A$3:$G$60,3,FALSE)</f>
        <v>#N/A</v>
      </c>
      <c r="P129" s="3" t="e">
        <f>VLOOKUP(C129,LookupLists!$A$3:$G$60,5,FALSE)</f>
        <v>#N/A</v>
      </c>
      <c r="Q129" s="3" t="e">
        <f>VLOOKUP(C129,LookupLists!$A$3:$G$60,6,FALSE)</f>
        <v>#N/A</v>
      </c>
      <c r="R129" s="4" t="e">
        <f>VLOOKUP(C129,LookupLists!$A$3:$G$60,7,FALSE)</f>
        <v>#N/A</v>
      </c>
      <c r="S129" s="3" t="e">
        <f>VLOOKUP(D129,LookupLists!$N$4:$T$60,1,FALSE)</f>
        <v>#N/A</v>
      </c>
      <c r="T129" s="3" t="e">
        <f>VLOOKUP(D129,LookupLists!$N$4:$T$60,2,FALSE)</f>
        <v>#N/A</v>
      </c>
      <c r="U129" s="3" t="e">
        <f>VLOOKUP(D129,LookupLists!$N$4:$T$60,3,FALSE)</f>
        <v>#N/A</v>
      </c>
      <c r="V129" s="3" t="e">
        <f>VLOOKUP(D129,LookupLists!$N$4:$T$60,5,FALSE)</f>
        <v>#N/A</v>
      </c>
    </row>
    <row r="130" spans="5:22" x14ac:dyDescent="0.3">
      <c r="E130" s="3" t="str">
        <f t="shared" si="1"/>
        <v/>
      </c>
      <c r="F130" s="3" t="str">
        <f xml:space="preserve"> IF(E130="","",  IFERROR(VLOOKUP(D130,LookupLists!$N$3:$T$60,6,FALSE)-LEN(E130),0))</f>
        <v/>
      </c>
      <c r="G130" s="3" t="str">
        <f>IF(E130="","",IFERROR(matches(E130,VLOOKUP(D130,LookupLists!$N$3:$T$60,7,FALSE)),FALSE))</f>
        <v/>
      </c>
      <c r="H130" s="3" t="e">
        <f>VLOOKUP(A130,LookupLists!$I$3:$L$60,1,FALSE)</f>
        <v>#N/A</v>
      </c>
      <c r="I130" s="3" t="e">
        <f>VLOOKUP(A130,LookupLists!$I$3:$L$60,2,FALSE)</f>
        <v>#N/A</v>
      </c>
      <c r="J130" s="3" t="e">
        <f>VLOOKUP(A130,LookupLists!$I$3:$L$60,3,FALSE)</f>
        <v>#N/A</v>
      </c>
      <c r="K130" s="3" t="e">
        <f>VLOOKUP(A130,LookupLists!$I$3:$L$60,4,FALSE)</f>
        <v>#N/A</v>
      </c>
      <c r="L130" s="3" t="e">
        <f>VLOOKUP(C130,LookupLists!$A$3:$G$60,1,FALSE)</f>
        <v>#N/A</v>
      </c>
      <c r="M130" s="3" t="e">
        <f>VLOOKUP(C130,LookupLists!$A$3:$G$60,4,FALSE)</f>
        <v>#N/A</v>
      </c>
      <c r="N130" s="3" t="e">
        <f>VLOOKUP(C130,LookupLists!$A$3:$G$60,2,FALSE)</f>
        <v>#N/A</v>
      </c>
      <c r="O130" s="3" t="e">
        <f>VLOOKUP(C130,LookupLists!$A$3:$G$60,3,FALSE)</f>
        <v>#N/A</v>
      </c>
      <c r="P130" s="3" t="e">
        <f>VLOOKUP(C130,LookupLists!$A$3:$G$60,5,FALSE)</f>
        <v>#N/A</v>
      </c>
      <c r="Q130" s="3" t="e">
        <f>VLOOKUP(C130,LookupLists!$A$3:$G$60,6,FALSE)</f>
        <v>#N/A</v>
      </c>
      <c r="R130" s="4" t="e">
        <f>VLOOKUP(C130,LookupLists!$A$3:$G$60,7,FALSE)</f>
        <v>#N/A</v>
      </c>
      <c r="S130" s="3" t="e">
        <f>VLOOKUP(D130,LookupLists!$N$4:$T$60,1,FALSE)</f>
        <v>#N/A</v>
      </c>
      <c r="T130" s="3" t="e">
        <f>VLOOKUP(D130,LookupLists!$N$4:$T$60,2,FALSE)</f>
        <v>#N/A</v>
      </c>
      <c r="U130" s="3" t="e">
        <f>VLOOKUP(D130,LookupLists!$N$4:$T$60,3,FALSE)</f>
        <v>#N/A</v>
      </c>
      <c r="V130" s="3" t="e">
        <f>VLOOKUP(D130,LookupLists!$N$4:$T$60,5,FALSE)</f>
        <v>#N/A</v>
      </c>
    </row>
    <row r="131" spans="5:22" x14ac:dyDescent="0.3">
      <c r="E131" s="3" t="str">
        <f t="shared" si="1"/>
        <v/>
      </c>
      <c r="F131" s="3" t="str">
        <f xml:space="preserve"> IF(E131="","",  IFERROR(VLOOKUP(D131,LookupLists!$N$3:$T$60,6,FALSE)-LEN(E131),0))</f>
        <v/>
      </c>
      <c r="G131" s="3" t="str">
        <f>IF(E131="","",IFERROR(matches(E131,VLOOKUP(D131,LookupLists!$N$3:$T$60,7,FALSE)),FALSE))</f>
        <v/>
      </c>
      <c r="H131" s="3" t="e">
        <f>VLOOKUP(A131,LookupLists!$I$3:$L$60,1,FALSE)</f>
        <v>#N/A</v>
      </c>
      <c r="I131" s="3" t="e">
        <f>VLOOKUP(A131,LookupLists!$I$3:$L$60,2,FALSE)</f>
        <v>#N/A</v>
      </c>
      <c r="J131" s="3" t="e">
        <f>VLOOKUP(A131,LookupLists!$I$3:$L$60,3,FALSE)</f>
        <v>#N/A</v>
      </c>
      <c r="K131" s="3" t="e">
        <f>VLOOKUP(A131,LookupLists!$I$3:$L$60,4,FALSE)</f>
        <v>#N/A</v>
      </c>
      <c r="L131" s="3" t="e">
        <f>VLOOKUP(C131,LookupLists!$A$3:$G$60,1,FALSE)</f>
        <v>#N/A</v>
      </c>
      <c r="M131" s="3" t="e">
        <f>VLOOKUP(C131,LookupLists!$A$3:$G$60,4,FALSE)</f>
        <v>#N/A</v>
      </c>
      <c r="N131" s="3" t="e">
        <f>VLOOKUP(C131,LookupLists!$A$3:$G$60,2,FALSE)</f>
        <v>#N/A</v>
      </c>
      <c r="O131" s="3" t="e">
        <f>VLOOKUP(C131,LookupLists!$A$3:$G$60,3,FALSE)</f>
        <v>#N/A</v>
      </c>
      <c r="P131" s="3" t="e">
        <f>VLOOKUP(C131,LookupLists!$A$3:$G$60,5,FALSE)</f>
        <v>#N/A</v>
      </c>
      <c r="Q131" s="3" t="e">
        <f>VLOOKUP(C131,LookupLists!$A$3:$G$60,6,FALSE)</f>
        <v>#N/A</v>
      </c>
      <c r="R131" s="4" t="e">
        <f>VLOOKUP(C131,LookupLists!$A$3:$G$60,7,FALSE)</f>
        <v>#N/A</v>
      </c>
      <c r="S131" s="3" t="e">
        <f>VLOOKUP(D131,LookupLists!$N$4:$T$60,1,FALSE)</f>
        <v>#N/A</v>
      </c>
      <c r="T131" s="3" t="e">
        <f>VLOOKUP(D131,LookupLists!$N$4:$T$60,2,FALSE)</f>
        <v>#N/A</v>
      </c>
      <c r="U131" s="3" t="e">
        <f>VLOOKUP(D131,LookupLists!$N$4:$T$60,3,FALSE)</f>
        <v>#N/A</v>
      </c>
      <c r="V131" s="3" t="e">
        <f>VLOOKUP(D131,LookupLists!$N$4:$T$60,5,FALSE)</f>
        <v>#N/A</v>
      </c>
    </row>
    <row r="132" spans="5:22" x14ac:dyDescent="0.3">
      <c r="E132" s="3" t="str">
        <f t="shared" si="1"/>
        <v/>
      </c>
      <c r="F132" s="3" t="str">
        <f xml:space="preserve"> IF(E132="","",  IFERROR(VLOOKUP(D132,LookupLists!$N$3:$T$60,6,FALSE)-LEN(E132),0))</f>
        <v/>
      </c>
      <c r="G132" s="3" t="str">
        <f>IF(E132="","",IFERROR(matches(E132,VLOOKUP(D132,LookupLists!$N$3:$T$60,7,FALSE)),FALSE))</f>
        <v/>
      </c>
      <c r="H132" s="3" t="e">
        <f>VLOOKUP(A132,LookupLists!$I$3:$L$60,1,FALSE)</f>
        <v>#N/A</v>
      </c>
      <c r="I132" s="3" t="e">
        <f>VLOOKUP(A132,LookupLists!$I$3:$L$60,2,FALSE)</f>
        <v>#N/A</v>
      </c>
      <c r="J132" s="3" t="e">
        <f>VLOOKUP(A132,LookupLists!$I$3:$L$60,3,FALSE)</f>
        <v>#N/A</v>
      </c>
      <c r="K132" s="3" t="e">
        <f>VLOOKUP(A132,LookupLists!$I$3:$L$60,4,FALSE)</f>
        <v>#N/A</v>
      </c>
      <c r="L132" s="3" t="e">
        <f>VLOOKUP(C132,LookupLists!$A$3:$G$60,1,FALSE)</f>
        <v>#N/A</v>
      </c>
      <c r="M132" s="3" t="e">
        <f>VLOOKUP(C132,LookupLists!$A$3:$G$60,4,FALSE)</f>
        <v>#N/A</v>
      </c>
      <c r="N132" s="3" t="e">
        <f>VLOOKUP(C132,LookupLists!$A$3:$G$60,2,FALSE)</f>
        <v>#N/A</v>
      </c>
      <c r="O132" s="3" t="e">
        <f>VLOOKUP(C132,LookupLists!$A$3:$G$60,3,FALSE)</f>
        <v>#N/A</v>
      </c>
      <c r="P132" s="3" t="e">
        <f>VLOOKUP(C132,LookupLists!$A$3:$G$60,5,FALSE)</f>
        <v>#N/A</v>
      </c>
      <c r="Q132" s="3" t="e">
        <f>VLOOKUP(C132,LookupLists!$A$3:$G$60,6,FALSE)</f>
        <v>#N/A</v>
      </c>
      <c r="R132" s="4" t="e">
        <f>VLOOKUP(C132,LookupLists!$A$3:$G$60,7,FALSE)</f>
        <v>#N/A</v>
      </c>
      <c r="S132" s="3" t="e">
        <f>VLOOKUP(D132,LookupLists!$N$4:$T$60,1,FALSE)</f>
        <v>#N/A</v>
      </c>
      <c r="T132" s="3" t="e">
        <f>VLOOKUP(D132,LookupLists!$N$4:$T$60,2,FALSE)</f>
        <v>#N/A</v>
      </c>
      <c r="U132" s="3" t="e">
        <f>VLOOKUP(D132,LookupLists!$N$4:$T$60,3,FALSE)</f>
        <v>#N/A</v>
      </c>
      <c r="V132" s="3" t="e">
        <f>VLOOKUP(D132,LookupLists!$N$4:$T$60,5,FALSE)</f>
        <v>#N/A</v>
      </c>
    </row>
    <row r="133" spans="5:22" x14ac:dyDescent="0.3">
      <c r="E133" s="3" t="str">
        <f t="shared" si="1"/>
        <v/>
      </c>
      <c r="F133" s="3" t="str">
        <f xml:space="preserve"> IF(E133="","",  IFERROR(VLOOKUP(D133,LookupLists!$N$3:$T$60,6,FALSE)-LEN(E133),0))</f>
        <v/>
      </c>
      <c r="G133" s="3" t="str">
        <f>IF(E133="","",IFERROR(matches(E133,VLOOKUP(D133,LookupLists!$N$3:$T$60,7,FALSE)),FALSE))</f>
        <v/>
      </c>
      <c r="H133" s="3" t="e">
        <f>VLOOKUP(A133,LookupLists!$I$3:$L$60,1,FALSE)</f>
        <v>#N/A</v>
      </c>
      <c r="I133" s="3" t="e">
        <f>VLOOKUP(A133,LookupLists!$I$3:$L$60,2,FALSE)</f>
        <v>#N/A</v>
      </c>
      <c r="J133" s="3" t="e">
        <f>VLOOKUP(A133,LookupLists!$I$3:$L$60,3,FALSE)</f>
        <v>#N/A</v>
      </c>
      <c r="K133" s="3" t="e">
        <f>VLOOKUP(A133,LookupLists!$I$3:$L$60,4,FALSE)</f>
        <v>#N/A</v>
      </c>
      <c r="L133" s="3" t="e">
        <f>VLOOKUP(C133,LookupLists!$A$3:$G$60,1,FALSE)</f>
        <v>#N/A</v>
      </c>
      <c r="M133" s="3" t="e">
        <f>VLOOKUP(C133,LookupLists!$A$3:$G$60,4,FALSE)</f>
        <v>#N/A</v>
      </c>
      <c r="N133" s="3" t="e">
        <f>VLOOKUP(C133,LookupLists!$A$3:$G$60,2,FALSE)</f>
        <v>#N/A</v>
      </c>
      <c r="O133" s="3" t="e">
        <f>VLOOKUP(C133,LookupLists!$A$3:$G$60,3,FALSE)</f>
        <v>#N/A</v>
      </c>
      <c r="P133" s="3" t="e">
        <f>VLOOKUP(C133,LookupLists!$A$3:$G$60,5,FALSE)</f>
        <v>#N/A</v>
      </c>
      <c r="Q133" s="3" t="e">
        <f>VLOOKUP(C133,LookupLists!$A$3:$G$60,6,FALSE)</f>
        <v>#N/A</v>
      </c>
      <c r="R133" s="4" t="e">
        <f>VLOOKUP(C133,LookupLists!$A$3:$G$60,7,FALSE)</f>
        <v>#N/A</v>
      </c>
      <c r="S133" s="3" t="e">
        <f>VLOOKUP(D133,LookupLists!$N$4:$T$60,1,FALSE)</f>
        <v>#N/A</v>
      </c>
      <c r="T133" s="3" t="e">
        <f>VLOOKUP(D133,LookupLists!$N$4:$T$60,2,FALSE)</f>
        <v>#N/A</v>
      </c>
      <c r="U133" s="3" t="e">
        <f>VLOOKUP(D133,LookupLists!$N$4:$T$60,3,FALSE)</f>
        <v>#N/A</v>
      </c>
      <c r="V133" s="3" t="e">
        <f>VLOOKUP(D133,LookupLists!$N$4:$T$60,5,FALSE)</f>
        <v>#N/A</v>
      </c>
    </row>
    <row r="134" spans="5:22" x14ac:dyDescent="0.3">
      <c r="E134" s="3" t="str">
        <f t="shared" si="1"/>
        <v/>
      </c>
      <c r="F134" s="3" t="str">
        <f xml:space="preserve"> IF(E134="","",  IFERROR(VLOOKUP(D134,LookupLists!$N$3:$T$60,6,FALSE)-LEN(E134),0))</f>
        <v/>
      </c>
      <c r="G134" s="3" t="str">
        <f>IF(E134="","",IFERROR(matches(E134,VLOOKUP(D134,LookupLists!$N$3:$T$60,7,FALSE)),FALSE))</f>
        <v/>
      </c>
      <c r="H134" s="3" t="e">
        <f>VLOOKUP(A134,LookupLists!$I$3:$L$60,1,FALSE)</f>
        <v>#N/A</v>
      </c>
      <c r="I134" s="3" t="e">
        <f>VLOOKUP(A134,LookupLists!$I$3:$L$60,2,FALSE)</f>
        <v>#N/A</v>
      </c>
      <c r="J134" s="3" t="e">
        <f>VLOOKUP(A134,LookupLists!$I$3:$L$60,3,FALSE)</f>
        <v>#N/A</v>
      </c>
      <c r="K134" s="3" t="e">
        <f>VLOOKUP(A134,LookupLists!$I$3:$L$60,4,FALSE)</f>
        <v>#N/A</v>
      </c>
      <c r="L134" s="3" t="e">
        <f>VLOOKUP(C134,LookupLists!$A$3:$G$60,1,FALSE)</f>
        <v>#N/A</v>
      </c>
      <c r="M134" s="3" t="e">
        <f>VLOOKUP(C134,LookupLists!$A$3:$G$60,4,FALSE)</f>
        <v>#N/A</v>
      </c>
      <c r="N134" s="3" t="e">
        <f>VLOOKUP(C134,LookupLists!$A$3:$G$60,2,FALSE)</f>
        <v>#N/A</v>
      </c>
      <c r="O134" s="3" t="e">
        <f>VLOOKUP(C134,LookupLists!$A$3:$G$60,3,FALSE)</f>
        <v>#N/A</v>
      </c>
      <c r="P134" s="3" t="e">
        <f>VLOOKUP(C134,LookupLists!$A$3:$G$60,5,FALSE)</f>
        <v>#N/A</v>
      </c>
      <c r="Q134" s="3" t="e">
        <f>VLOOKUP(C134,LookupLists!$A$3:$G$60,6,FALSE)</f>
        <v>#N/A</v>
      </c>
      <c r="R134" s="4" t="e">
        <f>VLOOKUP(C134,LookupLists!$A$3:$G$60,7,FALSE)</f>
        <v>#N/A</v>
      </c>
      <c r="S134" s="3" t="e">
        <f>VLOOKUP(D134,LookupLists!$N$4:$T$60,1,FALSE)</f>
        <v>#N/A</v>
      </c>
      <c r="T134" s="3" t="e">
        <f>VLOOKUP(D134,LookupLists!$N$4:$T$60,2,FALSE)</f>
        <v>#N/A</v>
      </c>
      <c r="U134" s="3" t="e">
        <f>VLOOKUP(D134,LookupLists!$N$4:$T$60,3,FALSE)</f>
        <v>#N/A</v>
      </c>
      <c r="V134" s="3" t="e">
        <f>VLOOKUP(D134,LookupLists!$N$4:$T$60,5,FALSE)</f>
        <v>#N/A</v>
      </c>
    </row>
    <row r="135" spans="5:22" x14ac:dyDescent="0.3">
      <c r="E135" s="3" t="str">
        <f t="shared" si="1"/>
        <v/>
      </c>
      <c r="F135" s="3" t="str">
        <f xml:space="preserve"> IF(E135="","",  IFERROR(VLOOKUP(D135,LookupLists!$N$3:$T$60,6,FALSE)-LEN(E135),0))</f>
        <v/>
      </c>
      <c r="G135" s="3" t="str">
        <f>IF(E135="","",IFERROR(matches(E135,VLOOKUP(D135,LookupLists!$N$3:$T$60,7,FALSE)),FALSE))</f>
        <v/>
      </c>
      <c r="H135" s="3" t="e">
        <f>VLOOKUP(A135,LookupLists!$I$3:$L$60,1,FALSE)</f>
        <v>#N/A</v>
      </c>
      <c r="I135" s="3" t="e">
        <f>VLOOKUP(A135,LookupLists!$I$3:$L$60,2,FALSE)</f>
        <v>#N/A</v>
      </c>
      <c r="J135" s="3" t="e">
        <f>VLOOKUP(A135,LookupLists!$I$3:$L$60,3,FALSE)</f>
        <v>#N/A</v>
      </c>
      <c r="K135" s="3" t="e">
        <f>VLOOKUP(A135,LookupLists!$I$3:$L$60,4,FALSE)</f>
        <v>#N/A</v>
      </c>
      <c r="L135" s="3" t="e">
        <f>VLOOKUP(C135,LookupLists!$A$3:$G$60,1,FALSE)</f>
        <v>#N/A</v>
      </c>
      <c r="M135" s="3" t="e">
        <f>VLOOKUP(C135,LookupLists!$A$3:$G$60,4,FALSE)</f>
        <v>#N/A</v>
      </c>
      <c r="N135" s="3" t="e">
        <f>VLOOKUP(C135,LookupLists!$A$3:$G$60,2,FALSE)</f>
        <v>#N/A</v>
      </c>
      <c r="O135" s="3" t="e">
        <f>VLOOKUP(C135,LookupLists!$A$3:$G$60,3,FALSE)</f>
        <v>#N/A</v>
      </c>
      <c r="P135" s="3" t="e">
        <f>VLOOKUP(C135,LookupLists!$A$3:$G$60,5,FALSE)</f>
        <v>#N/A</v>
      </c>
      <c r="Q135" s="3" t="e">
        <f>VLOOKUP(C135,LookupLists!$A$3:$G$60,6,FALSE)</f>
        <v>#N/A</v>
      </c>
      <c r="R135" s="4" t="e">
        <f>VLOOKUP(C135,LookupLists!$A$3:$G$60,7,FALSE)</f>
        <v>#N/A</v>
      </c>
      <c r="S135" s="3" t="e">
        <f>VLOOKUP(D135,LookupLists!$N$4:$T$60,1,FALSE)</f>
        <v>#N/A</v>
      </c>
      <c r="T135" s="3" t="e">
        <f>VLOOKUP(D135,LookupLists!$N$4:$T$60,2,FALSE)</f>
        <v>#N/A</v>
      </c>
      <c r="U135" s="3" t="e">
        <f>VLOOKUP(D135,LookupLists!$N$4:$T$60,3,FALSE)</f>
        <v>#N/A</v>
      </c>
      <c r="V135" s="3" t="e">
        <f>VLOOKUP(D135,LookupLists!$N$4:$T$60,5,FALSE)</f>
        <v>#N/A</v>
      </c>
    </row>
    <row r="136" spans="5:22" x14ac:dyDescent="0.3">
      <c r="E136" s="3" t="str">
        <f t="shared" ref="E136:E199" si="2">IFERROR(ComputeResourceName($B$3,$B$2,$B$1,B136,H136,I136,J136,K136,L136,N136,O136,M136,R136,S136,T136,U136,V136,0),"")</f>
        <v/>
      </c>
      <c r="F136" s="3" t="str">
        <f xml:space="preserve"> IF(E136="","",  IFERROR(VLOOKUP(D136,LookupLists!$N$3:$T$60,6,FALSE)-LEN(E136),0))</f>
        <v/>
      </c>
      <c r="G136" s="3" t="str">
        <f>IF(E136="","",IFERROR(matches(E136,VLOOKUP(D136,LookupLists!$N$3:$T$60,7,FALSE)),FALSE))</f>
        <v/>
      </c>
      <c r="H136" s="3" t="e">
        <f>VLOOKUP(A136,LookupLists!$I$3:$L$60,1,FALSE)</f>
        <v>#N/A</v>
      </c>
      <c r="I136" s="3" t="e">
        <f>VLOOKUP(A136,LookupLists!$I$3:$L$60,2,FALSE)</f>
        <v>#N/A</v>
      </c>
      <c r="J136" s="3" t="e">
        <f>VLOOKUP(A136,LookupLists!$I$3:$L$60,3,FALSE)</f>
        <v>#N/A</v>
      </c>
      <c r="K136" s="3" t="e">
        <f>VLOOKUP(A136,LookupLists!$I$3:$L$60,4,FALSE)</f>
        <v>#N/A</v>
      </c>
      <c r="L136" s="3" t="e">
        <f>VLOOKUP(C136,LookupLists!$A$3:$G$60,1,FALSE)</f>
        <v>#N/A</v>
      </c>
      <c r="M136" s="3" t="e">
        <f>VLOOKUP(C136,LookupLists!$A$3:$G$60,4,FALSE)</f>
        <v>#N/A</v>
      </c>
      <c r="N136" s="3" t="e">
        <f>VLOOKUP(C136,LookupLists!$A$3:$G$60,2,FALSE)</f>
        <v>#N/A</v>
      </c>
      <c r="O136" s="3" t="e">
        <f>VLOOKUP(C136,LookupLists!$A$3:$G$60,3,FALSE)</f>
        <v>#N/A</v>
      </c>
      <c r="P136" s="3" t="e">
        <f>VLOOKUP(C136,LookupLists!$A$3:$G$60,5,FALSE)</f>
        <v>#N/A</v>
      </c>
      <c r="Q136" s="3" t="e">
        <f>VLOOKUP(C136,LookupLists!$A$3:$G$60,6,FALSE)</f>
        <v>#N/A</v>
      </c>
      <c r="R136" s="4" t="e">
        <f>VLOOKUP(C136,LookupLists!$A$3:$G$60,7,FALSE)</f>
        <v>#N/A</v>
      </c>
      <c r="S136" s="3" t="e">
        <f>VLOOKUP(D136,LookupLists!$N$4:$T$60,1,FALSE)</f>
        <v>#N/A</v>
      </c>
      <c r="T136" s="3" t="e">
        <f>VLOOKUP(D136,LookupLists!$N$4:$T$60,2,FALSE)</f>
        <v>#N/A</v>
      </c>
      <c r="U136" s="3" t="e">
        <f>VLOOKUP(D136,LookupLists!$N$4:$T$60,3,FALSE)</f>
        <v>#N/A</v>
      </c>
      <c r="V136" s="3" t="e">
        <f>VLOOKUP(D136,LookupLists!$N$4:$T$60,5,FALSE)</f>
        <v>#N/A</v>
      </c>
    </row>
    <row r="137" spans="5:22" x14ac:dyDescent="0.3">
      <c r="E137" s="3" t="str">
        <f t="shared" si="2"/>
        <v/>
      </c>
      <c r="F137" s="3" t="str">
        <f xml:space="preserve"> IF(E137="","",  IFERROR(VLOOKUP(D137,LookupLists!$N$3:$T$60,6,FALSE)-LEN(E137),0))</f>
        <v/>
      </c>
      <c r="G137" s="3" t="str">
        <f>IF(E137="","",IFERROR(matches(E137,VLOOKUP(D137,LookupLists!$N$3:$T$60,7,FALSE)),FALSE))</f>
        <v/>
      </c>
      <c r="H137" s="3" t="e">
        <f>VLOOKUP(A137,LookupLists!$I$3:$L$60,1,FALSE)</f>
        <v>#N/A</v>
      </c>
      <c r="I137" s="3" t="e">
        <f>VLOOKUP(A137,LookupLists!$I$3:$L$60,2,FALSE)</f>
        <v>#N/A</v>
      </c>
      <c r="J137" s="3" t="e">
        <f>VLOOKUP(A137,LookupLists!$I$3:$L$60,3,FALSE)</f>
        <v>#N/A</v>
      </c>
      <c r="K137" s="3" t="e">
        <f>VLOOKUP(A137,LookupLists!$I$3:$L$60,4,FALSE)</f>
        <v>#N/A</v>
      </c>
      <c r="L137" s="3" t="e">
        <f>VLOOKUP(C137,LookupLists!$A$3:$G$60,1,FALSE)</f>
        <v>#N/A</v>
      </c>
      <c r="M137" s="3" t="e">
        <f>VLOOKUP(C137,LookupLists!$A$3:$G$60,4,FALSE)</f>
        <v>#N/A</v>
      </c>
      <c r="N137" s="3" t="e">
        <f>VLOOKUP(C137,LookupLists!$A$3:$G$60,2,FALSE)</f>
        <v>#N/A</v>
      </c>
      <c r="O137" s="3" t="e">
        <f>VLOOKUP(C137,LookupLists!$A$3:$G$60,3,FALSE)</f>
        <v>#N/A</v>
      </c>
      <c r="P137" s="3" t="e">
        <f>VLOOKUP(C137,LookupLists!$A$3:$G$60,5,FALSE)</f>
        <v>#N/A</v>
      </c>
      <c r="Q137" s="3" t="e">
        <f>VLOOKUP(C137,LookupLists!$A$3:$G$60,6,FALSE)</f>
        <v>#N/A</v>
      </c>
      <c r="R137" s="4" t="e">
        <f>VLOOKUP(C137,LookupLists!$A$3:$G$60,7,FALSE)</f>
        <v>#N/A</v>
      </c>
      <c r="S137" s="3" t="e">
        <f>VLOOKUP(D137,LookupLists!$N$4:$T$60,1,FALSE)</f>
        <v>#N/A</v>
      </c>
      <c r="T137" s="3" t="e">
        <f>VLOOKUP(D137,LookupLists!$N$4:$T$60,2,FALSE)</f>
        <v>#N/A</v>
      </c>
      <c r="U137" s="3" t="e">
        <f>VLOOKUP(D137,LookupLists!$N$4:$T$60,3,FALSE)</f>
        <v>#N/A</v>
      </c>
      <c r="V137" s="3" t="e">
        <f>VLOOKUP(D137,LookupLists!$N$4:$T$60,5,FALSE)</f>
        <v>#N/A</v>
      </c>
    </row>
    <row r="138" spans="5:22" x14ac:dyDescent="0.3">
      <c r="E138" s="3" t="str">
        <f t="shared" si="2"/>
        <v/>
      </c>
      <c r="F138" s="3" t="str">
        <f xml:space="preserve"> IF(E138="","",  IFERROR(VLOOKUP(D138,LookupLists!$N$3:$T$60,6,FALSE)-LEN(E138),0))</f>
        <v/>
      </c>
      <c r="G138" s="3" t="str">
        <f>IF(E138="","",IFERROR(matches(E138,VLOOKUP(D138,LookupLists!$N$3:$T$60,7,FALSE)),FALSE))</f>
        <v/>
      </c>
      <c r="H138" s="3" t="e">
        <f>VLOOKUP(A138,LookupLists!$I$3:$L$60,1,FALSE)</f>
        <v>#N/A</v>
      </c>
      <c r="I138" s="3" t="e">
        <f>VLOOKUP(A138,LookupLists!$I$3:$L$60,2,FALSE)</f>
        <v>#N/A</v>
      </c>
      <c r="J138" s="3" t="e">
        <f>VLOOKUP(A138,LookupLists!$I$3:$L$60,3,FALSE)</f>
        <v>#N/A</v>
      </c>
      <c r="K138" s="3" t="e">
        <f>VLOOKUP(A138,LookupLists!$I$3:$L$60,4,FALSE)</f>
        <v>#N/A</v>
      </c>
      <c r="L138" s="3" t="e">
        <f>VLOOKUP(C138,LookupLists!$A$3:$G$60,1,FALSE)</f>
        <v>#N/A</v>
      </c>
      <c r="M138" s="3" t="e">
        <f>VLOOKUP(C138,LookupLists!$A$3:$G$60,4,FALSE)</f>
        <v>#N/A</v>
      </c>
      <c r="N138" s="3" t="e">
        <f>VLOOKUP(C138,LookupLists!$A$3:$G$60,2,FALSE)</f>
        <v>#N/A</v>
      </c>
      <c r="O138" s="3" t="e">
        <f>VLOOKUP(C138,LookupLists!$A$3:$G$60,3,FALSE)</f>
        <v>#N/A</v>
      </c>
      <c r="P138" s="3" t="e">
        <f>VLOOKUP(C138,LookupLists!$A$3:$G$60,5,FALSE)</f>
        <v>#N/A</v>
      </c>
      <c r="Q138" s="3" t="e">
        <f>VLOOKUP(C138,LookupLists!$A$3:$G$60,6,FALSE)</f>
        <v>#N/A</v>
      </c>
      <c r="R138" s="4" t="e">
        <f>VLOOKUP(C138,LookupLists!$A$3:$G$60,7,FALSE)</f>
        <v>#N/A</v>
      </c>
      <c r="S138" s="3" t="e">
        <f>VLOOKUP(D138,LookupLists!$N$4:$T$60,1,FALSE)</f>
        <v>#N/A</v>
      </c>
      <c r="T138" s="3" t="e">
        <f>VLOOKUP(D138,LookupLists!$N$4:$T$60,2,FALSE)</f>
        <v>#N/A</v>
      </c>
      <c r="U138" s="3" t="e">
        <f>VLOOKUP(D138,LookupLists!$N$4:$T$60,3,FALSE)</f>
        <v>#N/A</v>
      </c>
      <c r="V138" s="3" t="e">
        <f>VLOOKUP(D138,LookupLists!$N$4:$T$60,5,FALSE)</f>
        <v>#N/A</v>
      </c>
    </row>
    <row r="139" spans="5:22" x14ac:dyDescent="0.3">
      <c r="E139" s="3" t="str">
        <f t="shared" si="2"/>
        <v/>
      </c>
      <c r="F139" s="3" t="str">
        <f xml:space="preserve"> IF(E139="","",  IFERROR(VLOOKUP(D139,LookupLists!$N$3:$T$60,6,FALSE)-LEN(E139),0))</f>
        <v/>
      </c>
      <c r="G139" s="3" t="str">
        <f>IF(E139="","",IFERROR(matches(E139,VLOOKUP(D139,LookupLists!$N$3:$T$60,7,FALSE)),FALSE))</f>
        <v/>
      </c>
      <c r="H139" s="3" t="e">
        <f>VLOOKUP(A139,LookupLists!$I$3:$L$60,1,FALSE)</f>
        <v>#N/A</v>
      </c>
      <c r="I139" s="3" t="e">
        <f>VLOOKUP(A139,LookupLists!$I$3:$L$60,2,FALSE)</f>
        <v>#N/A</v>
      </c>
      <c r="J139" s="3" t="e">
        <f>VLOOKUP(A139,LookupLists!$I$3:$L$60,3,FALSE)</f>
        <v>#N/A</v>
      </c>
      <c r="K139" s="3" t="e">
        <f>VLOOKUP(A139,LookupLists!$I$3:$L$60,4,FALSE)</f>
        <v>#N/A</v>
      </c>
      <c r="L139" s="3" t="e">
        <f>VLOOKUP(C139,LookupLists!$A$3:$G$60,1,FALSE)</f>
        <v>#N/A</v>
      </c>
      <c r="M139" s="3" t="e">
        <f>VLOOKUP(C139,LookupLists!$A$3:$G$60,4,FALSE)</f>
        <v>#N/A</v>
      </c>
      <c r="N139" s="3" t="e">
        <f>VLOOKUP(C139,LookupLists!$A$3:$G$60,2,FALSE)</f>
        <v>#N/A</v>
      </c>
      <c r="O139" s="3" t="e">
        <f>VLOOKUP(C139,LookupLists!$A$3:$G$60,3,FALSE)</f>
        <v>#N/A</v>
      </c>
      <c r="P139" s="3" t="e">
        <f>VLOOKUP(C139,LookupLists!$A$3:$G$60,5,FALSE)</f>
        <v>#N/A</v>
      </c>
      <c r="Q139" s="3" t="e">
        <f>VLOOKUP(C139,LookupLists!$A$3:$G$60,6,FALSE)</f>
        <v>#N/A</v>
      </c>
      <c r="R139" s="4" t="e">
        <f>VLOOKUP(C139,LookupLists!$A$3:$G$60,7,FALSE)</f>
        <v>#N/A</v>
      </c>
      <c r="S139" s="3" t="e">
        <f>VLOOKUP(D139,LookupLists!$N$4:$T$60,1,FALSE)</f>
        <v>#N/A</v>
      </c>
      <c r="T139" s="3" t="e">
        <f>VLOOKUP(D139,LookupLists!$N$4:$T$60,2,FALSE)</f>
        <v>#N/A</v>
      </c>
      <c r="U139" s="3" t="e">
        <f>VLOOKUP(D139,LookupLists!$N$4:$T$60,3,FALSE)</f>
        <v>#N/A</v>
      </c>
      <c r="V139" s="3" t="e">
        <f>VLOOKUP(D139,LookupLists!$N$4:$T$60,5,FALSE)</f>
        <v>#N/A</v>
      </c>
    </row>
    <row r="140" spans="5:22" x14ac:dyDescent="0.3">
      <c r="E140" s="3" t="str">
        <f t="shared" si="2"/>
        <v/>
      </c>
      <c r="F140" s="3" t="str">
        <f xml:space="preserve"> IF(E140="","",  IFERROR(VLOOKUP(D140,LookupLists!$N$3:$T$60,6,FALSE)-LEN(E140),0))</f>
        <v/>
      </c>
      <c r="G140" s="3" t="str">
        <f>IF(E140="","",IFERROR(matches(E140,VLOOKUP(D140,LookupLists!$N$3:$T$60,7,FALSE)),FALSE))</f>
        <v/>
      </c>
      <c r="H140" s="3" t="e">
        <f>VLOOKUP(A140,LookupLists!$I$3:$L$60,1,FALSE)</f>
        <v>#N/A</v>
      </c>
      <c r="I140" s="3" t="e">
        <f>VLOOKUP(A140,LookupLists!$I$3:$L$60,2,FALSE)</f>
        <v>#N/A</v>
      </c>
      <c r="J140" s="3" t="e">
        <f>VLOOKUP(A140,LookupLists!$I$3:$L$60,3,FALSE)</f>
        <v>#N/A</v>
      </c>
      <c r="K140" s="3" t="e">
        <f>VLOOKUP(A140,LookupLists!$I$3:$L$60,4,FALSE)</f>
        <v>#N/A</v>
      </c>
      <c r="L140" s="3" t="e">
        <f>VLOOKUP(C140,LookupLists!$A$3:$G$60,1,FALSE)</f>
        <v>#N/A</v>
      </c>
      <c r="M140" s="3" t="e">
        <f>VLOOKUP(C140,LookupLists!$A$3:$G$60,4,FALSE)</f>
        <v>#N/A</v>
      </c>
      <c r="N140" s="3" t="e">
        <f>VLOOKUP(C140,LookupLists!$A$3:$G$60,2,FALSE)</f>
        <v>#N/A</v>
      </c>
      <c r="O140" s="3" t="e">
        <f>VLOOKUP(C140,LookupLists!$A$3:$G$60,3,FALSE)</f>
        <v>#N/A</v>
      </c>
      <c r="P140" s="3" t="e">
        <f>VLOOKUP(C140,LookupLists!$A$3:$G$60,5,FALSE)</f>
        <v>#N/A</v>
      </c>
      <c r="Q140" s="3" t="e">
        <f>VLOOKUP(C140,LookupLists!$A$3:$G$60,6,FALSE)</f>
        <v>#N/A</v>
      </c>
      <c r="R140" s="4" t="e">
        <f>VLOOKUP(C140,LookupLists!$A$3:$G$60,7,FALSE)</f>
        <v>#N/A</v>
      </c>
      <c r="S140" s="3" t="e">
        <f>VLOOKUP(D140,LookupLists!$N$4:$T$60,1,FALSE)</f>
        <v>#N/A</v>
      </c>
      <c r="T140" s="3" t="e">
        <f>VLOOKUP(D140,LookupLists!$N$4:$T$60,2,FALSE)</f>
        <v>#N/A</v>
      </c>
      <c r="U140" s="3" t="e">
        <f>VLOOKUP(D140,LookupLists!$N$4:$T$60,3,FALSE)</f>
        <v>#N/A</v>
      </c>
      <c r="V140" s="3" t="e">
        <f>VLOOKUP(D140,LookupLists!$N$4:$T$60,5,FALSE)</f>
        <v>#N/A</v>
      </c>
    </row>
    <row r="141" spans="5:22" x14ac:dyDescent="0.3">
      <c r="E141" s="3" t="str">
        <f t="shared" si="2"/>
        <v/>
      </c>
      <c r="F141" s="3" t="str">
        <f xml:space="preserve"> IF(E141="","",  IFERROR(VLOOKUP(D141,LookupLists!$N$3:$T$60,6,FALSE)-LEN(E141),0))</f>
        <v/>
      </c>
      <c r="G141" s="3" t="str">
        <f>IF(E141="","",IFERROR(matches(E141,VLOOKUP(D141,LookupLists!$N$3:$T$60,7,FALSE)),FALSE))</f>
        <v/>
      </c>
      <c r="H141" s="3" t="e">
        <f>VLOOKUP(A141,LookupLists!$I$3:$L$60,1,FALSE)</f>
        <v>#N/A</v>
      </c>
      <c r="I141" s="3" t="e">
        <f>VLOOKUP(A141,LookupLists!$I$3:$L$60,2,FALSE)</f>
        <v>#N/A</v>
      </c>
      <c r="J141" s="3" t="e">
        <f>VLOOKUP(A141,LookupLists!$I$3:$L$60,3,FALSE)</f>
        <v>#N/A</v>
      </c>
      <c r="K141" s="3" t="e">
        <f>VLOOKUP(A141,LookupLists!$I$3:$L$60,4,FALSE)</f>
        <v>#N/A</v>
      </c>
      <c r="L141" s="3" t="e">
        <f>VLOOKUP(C141,LookupLists!$A$3:$G$60,1,FALSE)</f>
        <v>#N/A</v>
      </c>
      <c r="M141" s="3" t="e">
        <f>VLOOKUP(C141,LookupLists!$A$3:$G$60,4,FALSE)</f>
        <v>#N/A</v>
      </c>
      <c r="N141" s="3" t="e">
        <f>VLOOKUP(C141,LookupLists!$A$3:$G$60,2,FALSE)</f>
        <v>#N/A</v>
      </c>
      <c r="O141" s="3" t="e">
        <f>VLOOKUP(C141,LookupLists!$A$3:$G$60,3,FALSE)</f>
        <v>#N/A</v>
      </c>
      <c r="P141" s="3" t="e">
        <f>VLOOKUP(C141,LookupLists!$A$3:$G$60,5,FALSE)</f>
        <v>#N/A</v>
      </c>
      <c r="Q141" s="3" t="e">
        <f>VLOOKUP(C141,LookupLists!$A$3:$G$60,6,FALSE)</f>
        <v>#N/A</v>
      </c>
      <c r="R141" s="4" t="e">
        <f>VLOOKUP(C141,LookupLists!$A$3:$G$60,7,FALSE)</f>
        <v>#N/A</v>
      </c>
      <c r="S141" s="3" t="e">
        <f>VLOOKUP(D141,LookupLists!$N$4:$T$60,1,FALSE)</f>
        <v>#N/A</v>
      </c>
      <c r="T141" s="3" t="e">
        <f>VLOOKUP(D141,LookupLists!$N$4:$T$60,2,FALSE)</f>
        <v>#N/A</v>
      </c>
      <c r="U141" s="3" t="e">
        <f>VLOOKUP(D141,LookupLists!$N$4:$T$60,3,FALSE)</f>
        <v>#N/A</v>
      </c>
      <c r="V141" s="3" t="e">
        <f>VLOOKUP(D141,LookupLists!$N$4:$T$60,5,FALSE)</f>
        <v>#N/A</v>
      </c>
    </row>
    <row r="142" spans="5:22" x14ac:dyDescent="0.3">
      <c r="E142" s="3" t="str">
        <f t="shared" si="2"/>
        <v/>
      </c>
      <c r="F142" s="3" t="str">
        <f xml:space="preserve"> IF(E142="","",  IFERROR(VLOOKUP(D142,LookupLists!$N$3:$T$60,6,FALSE)-LEN(E142),0))</f>
        <v/>
      </c>
      <c r="G142" s="3" t="str">
        <f>IF(E142="","",IFERROR(matches(E142,VLOOKUP(D142,LookupLists!$N$3:$T$60,7,FALSE)),FALSE))</f>
        <v/>
      </c>
      <c r="H142" s="3" t="e">
        <f>VLOOKUP(A142,LookupLists!$I$3:$L$60,1,FALSE)</f>
        <v>#N/A</v>
      </c>
      <c r="I142" s="3" t="e">
        <f>VLOOKUP(A142,LookupLists!$I$3:$L$60,2,FALSE)</f>
        <v>#N/A</v>
      </c>
      <c r="J142" s="3" t="e">
        <f>VLOOKUP(A142,LookupLists!$I$3:$L$60,3,FALSE)</f>
        <v>#N/A</v>
      </c>
      <c r="K142" s="3" t="e">
        <f>VLOOKUP(A142,LookupLists!$I$3:$L$60,4,FALSE)</f>
        <v>#N/A</v>
      </c>
      <c r="L142" s="3" t="e">
        <f>VLOOKUP(C142,LookupLists!$A$3:$G$60,1,FALSE)</f>
        <v>#N/A</v>
      </c>
      <c r="M142" s="3" t="e">
        <f>VLOOKUP(C142,LookupLists!$A$3:$G$60,4,FALSE)</f>
        <v>#N/A</v>
      </c>
      <c r="N142" s="3" t="e">
        <f>VLOOKUP(C142,LookupLists!$A$3:$G$60,2,FALSE)</f>
        <v>#N/A</v>
      </c>
      <c r="O142" s="3" t="e">
        <f>VLOOKUP(C142,LookupLists!$A$3:$G$60,3,FALSE)</f>
        <v>#N/A</v>
      </c>
      <c r="P142" s="3" t="e">
        <f>VLOOKUP(C142,LookupLists!$A$3:$G$60,5,FALSE)</f>
        <v>#N/A</v>
      </c>
      <c r="Q142" s="3" t="e">
        <f>VLOOKUP(C142,LookupLists!$A$3:$G$60,6,FALSE)</f>
        <v>#N/A</v>
      </c>
      <c r="R142" s="4" t="e">
        <f>VLOOKUP(C142,LookupLists!$A$3:$G$60,7,FALSE)</f>
        <v>#N/A</v>
      </c>
      <c r="S142" s="3" t="e">
        <f>VLOOKUP(D142,LookupLists!$N$4:$T$60,1,FALSE)</f>
        <v>#N/A</v>
      </c>
      <c r="T142" s="3" t="e">
        <f>VLOOKUP(D142,LookupLists!$N$4:$T$60,2,FALSE)</f>
        <v>#N/A</v>
      </c>
      <c r="U142" s="3" t="e">
        <f>VLOOKUP(D142,LookupLists!$N$4:$T$60,3,FALSE)</f>
        <v>#N/A</v>
      </c>
      <c r="V142" s="3" t="e">
        <f>VLOOKUP(D142,LookupLists!$N$4:$T$60,5,FALSE)</f>
        <v>#N/A</v>
      </c>
    </row>
    <row r="143" spans="5:22" x14ac:dyDescent="0.3">
      <c r="E143" s="3" t="str">
        <f t="shared" si="2"/>
        <v/>
      </c>
      <c r="F143" s="3" t="str">
        <f xml:space="preserve"> IF(E143="","",  IFERROR(VLOOKUP(D143,LookupLists!$N$3:$T$60,6,FALSE)-LEN(E143),0))</f>
        <v/>
      </c>
      <c r="G143" s="3" t="str">
        <f>IF(E143="","",IFERROR(matches(E143,VLOOKUP(D143,LookupLists!$N$3:$T$60,7,FALSE)),FALSE))</f>
        <v/>
      </c>
      <c r="H143" s="3" t="e">
        <f>VLOOKUP(A143,LookupLists!$I$3:$L$60,1,FALSE)</f>
        <v>#N/A</v>
      </c>
      <c r="I143" s="3" t="e">
        <f>VLOOKUP(A143,LookupLists!$I$3:$L$60,2,FALSE)</f>
        <v>#N/A</v>
      </c>
      <c r="J143" s="3" t="e">
        <f>VLOOKUP(A143,LookupLists!$I$3:$L$60,3,FALSE)</f>
        <v>#N/A</v>
      </c>
      <c r="K143" s="3" t="e">
        <f>VLOOKUP(A143,LookupLists!$I$3:$L$60,4,FALSE)</f>
        <v>#N/A</v>
      </c>
      <c r="L143" s="3" t="e">
        <f>VLOOKUP(C143,LookupLists!$A$3:$G$60,1,FALSE)</f>
        <v>#N/A</v>
      </c>
      <c r="M143" s="3" t="e">
        <f>VLOOKUP(C143,LookupLists!$A$3:$G$60,4,FALSE)</f>
        <v>#N/A</v>
      </c>
      <c r="N143" s="3" t="e">
        <f>VLOOKUP(C143,LookupLists!$A$3:$G$60,2,FALSE)</f>
        <v>#N/A</v>
      </c>
      <c r="O143" s="3" t="e">
        <f>VLOOKUP(C143,LookupLists!$A$3:$G$60,3,FALSE)</f>
        <v>#N/A</v>
      </c>
      <c r="P143" s="3" t="e">
        <f>VLOOKUP(C143,LookupLists!$A$3:$G$60,5,FALSE)</f>
        <v>#N/A</v>
      </c>
      <c r="Q143" s="3" t="e">
        <f>VLOOKUP(C143,LookupLists!$A$3:$G$60,6,FALSE)</f>
        <v>#N/A</v>
      </c>
      <c r="R143" s="4" t="e">
        <f>VLOOKUP(C143,LookupLists!$A$3:$G$60,7,FALSE)</f>
        <v>#N/A</v>
      </c>
      <c r="S143" s="3" t="e">
        <f>VLOOKUP(D143,LookupLists!$N$4:$T$60,1,FALSE)</f>
        <v>#N/A</v>
      </c>
      <c r="T143" s="3" t="e">
        <f>VLOOKUP(D143,LookupLists!$N$4:$T$60,2,FALSE)</f>
        <v>#N/A</v>
      </c>
      <c r="U143" s="3" t="e">
        <f>VLOOKUP(D143,LookupLists!$N$4:$T$60,3,FALSE)</f>
        <v>#N/A</v>
      </c>
      <c r="V143" s="3" t="e">
        <f>VLOOKUP(D143,LookupLists!$N$4:$T$60,5,FALSE)</f>
        <v>#N/A</v>
      </c>
    </row>
    <row r="144" spans="5:22" x14ac:dyDescent="0.3">
      <c r="E144" s="3" t="str">
        <f t="shared" si="2"/>
        <v/>
      </c>
      <c r="F144" s="3" t="str">
        <f xml:space="preserve"> IF(E144="","",  IFERROR(VLOOKUP(D144,LookupLists!$N$3:$T$60,6,FALSE)-LEN(E144),0))</f>
        <v/>
      </c>
      <c r="G144" s="3" t="str">
        <f>IF(E144="","",IFERROR(matches(E144,VLOOKUP(D144,LookupLists!$N$3:$T$60,7,FALSE)),FALSE))</f>
        <v/>
      </c>
      <c r="H144" s="3" t="e">
        <f>VLOOKUP(A144,LookupLists!$I$3:$L$60,1,FALSE)</f>
        <v>#N/A</v>
      </c>
      <c r="I144" s="3" t="e">
        <f>VLOOKUP(A144,LookupLists!$I$3:$L$60,2,FALSE)</f>
        <v>#N/A</v>
      </c>
      <c r="J144" s="3" t="e">
        <f>VLOOKUP(A144,LookupLists!$I$3:$L$60,3,FALSE)</f>
        <v>#N/A</v>
      </c>
      <c r="K144" s="3" t="e">
        <f>VLOOKUP(A144,LookupLists!$I$3:$L$60,4,FALSE)</f>
        <v>#N/A</v>
      </c>
      <c r="L144" s="3" t="e">
        <f>VLOOKUP(C144,LookupLists!$A$3:$G$60,1,FALSE)</f>
        <v>#N/A</v>
      </c>
      <c r="M144" s="3" t="e">
        <f>VLOOKUP(C144,LookupLists!$A$3:$G$60,4,FALSE)</f>
        <v>#N/A</v>
      </c>
      <c r="N144" s="3" t="e">
        <f>VLOOKUP(C144,LookupLists!$A$3:$G$60,2,FALSE)</f>
        <v>#N/A</v>
      </c>
      <c r="O144" s="3" t="e">
        <f>VLOOKUP(C144,LookupLists!$A$3:$G$60,3,FALSE)</f>
        <v>#N/A</v>
      </c>
      <c r="P144" s="3" t="e">
        <f>VLOOKUP(C144,LookupLists!$A$3:$G$60,5,FALSE)</f>
        <v>#N/A</v>
      </c>
      <c r="Q144" s="3" t="e">
        <f>VLOOKUP(C144,LookupLists!$A$3:$G$60,6,FALSE)</f>
        <v>#N/A</v>
      </c>
      <c r="R144" s="4" t="e">
        <f>VLOOKUP(C144,LookupLists!$A$3:$G$60,7,FALSE)</f>
        <v>#N/A</v>
      </c>
      <c r="S144" s="3" t="e">
        <f>VLOOKUP(D144,LookupLists!$N$4:$T$60,1,FALSE)</f>
        <v>#N/A</v>
      </c>
      <c r="T144" s="3" t="e">
        <f>VLOOKUP(D144,LookupLists!$N$4:$T$60,2,FALSE)</f>
        <v>#N/A</v>
      </c>
      <c r="U144" s="3" t="e">
        <f>VLOOKUP(D144,LookupLists!$N$4:$T$60,3,FALSE)</f>
        <v>#N/A</v>
      </c>
      <c r="V144" s="3" t="e">
        <f>VLOOKUP(D144,LookupLists!$N$4:$T$60,5,FALSE)</f>
        <v>#N/A</v>
      </c>
    </row>
    <row r="145" spans="5:22" x14ac:dyDescent="0.3">
      <c r="E145" s="3" t="str">
        <f t="shared" si="2"/>
        <v/>
      </c>
      <c r="F145" s="3" t="str">
        <f xml:space="preserve"> IF(E145="","",  IFERROR(VLOOKUP(D145,LookupLists!$N$3:$T$60,6,FALSE)-LEN(E145),0))</f>
        <v/>
      </c>
      <c r="G145" s="3" t="str">
        <f>IF(E145="","",IFERROR(matches(E145,VLOOKUP(D145,LookupLists!$N$3:$T$60,7,FALSE)),FALSE))</f>
        <v/>
      </c>
      <c r="H145" s="3" t="e">
        <f>VLOOKUP(A145,LookupLists!$I$3:$L$60,1,FALSE)</f>
        <v>#N/A</v>
      </c>
      <c r="I145" s="3" t="e">
        <f>VLOOKUP(A145,LookupLists!$I$3:$L$60,2,FALSE)</f>
        <v>#N/A</v>
      </c>
      <c r="J145" s="3" t="e">
        <f>VLOOKUP(A145,LookupLists!$I$3:$L$60,3,FALSE)</f>
        <v>#N/A</v>
      </c>
      <c r="K145" s="3" t="e">
        <f>VLOOKUP(A145,LookupLists!$I$3:$L$60,4,FALSE)</f>
        <v>#N/A</v>
      </c>
      <c r="L145" s="3" t="e">
        <f>VLOOKUP(C145,LookupLists!$A$3:$G$60,1,FALSE)</f>
        <v>#N/A</v>
      </c>
      <c r="M145" s="3" t="e">
        <f>VLOOKUP(C145,LookupLists!$A$3:$G$60,4,FALSE)</f>
        <v>#N/A</v>
      </c>
      <c r="N145" s="3" t="e">
        <f>VLOOKUP(C145,LookupLists!$A$3:$G$60,2,FALSE)</f>
        <v>#N/A</v>
      </c>
      <c r="O145" s="3" t="e">
        <f>VLOOKUP(C145,LookupLists!$A$3:$G$60,3,FALSE)</f>
        <v>#N/A</v>
      </c>
      <c r="P145" s="3" t="e">
        <f>VLOOKUP(C145,LookupLists!$A$3:$G$60,5,FALSE)</f>
        <v>#N/A</v>
      </c>
      <c r="Q145" s="3" t="e">
        <f>VLOOKUP(C145,LookupLists!$A$3:$G$60,6,FALSE)</f>
        <v>#N/A</v>
      </c>
      <c r="R145" s="4" t="e">
        <f>VLOOKUP(C145,LookupLists!$A$3:$G$60,7,FALSE)</f>
        <v>#N/A</v>
      </c>
      <c r="S145" s="3" t="e">
        <f>VLOOKUP(D145,LookupLists!$N$4:$T$60,1,FALSE)</f>
        <v>#N/A</v>
      </c>
      <c r="T145" s="3" t="e">
        <f>VLOOKUP(D145,LookupLists!$N$4:$T$60,2,FALSE)</f>
        <v>#N/A</v>
      </c>
      <c r="U145" s="3" t="e">
        <f>VLOOKUP(D145,LookupLists!$N$4:$T$60,3,FALSE)</f>
        <v>#N/A</v>
      </c>
      <c r="V145" s="3" t="e">
        <f>VLOOKUP(D145,LookupLists!$N$4:$T$60,5,FALSE)</f>
        <v>#N/A</v>
      </c>
    </row>
    <row r="146" spans="5:22" x14ac:dyDescent="0.3">
      <c r="E146" s="3" t="str">
        <f t="shared" si="2"/>
        <v/>
      </c>
      <c r="F146" s="3" t="str">
        <f xml:space="preserve"> IF(E146="","",  IFERROR(VLOOKUP(D146,LookupLists!$N$3:$T$60,6,FALSE)-LEN(E146),0))</f>
        <v/>
      </c>
      <c r="G146" s="3" t="str">
        <f>IF(E146="","",IFERROR(matches(E146,VLOOKUP(D146,LookupLists!$N$3:$T$60,7,FALSE)),FALSE))</f>
        <v/>
      </c>
      <c r="H146" s="3" t="e">
        <f>VLOOKUP(A146,LookupLists!$I$3:$L$60,1,FALSE)</f>
        <v>#N/A</v>
      </c>
      <c r="I146" s="3" t="e">
        <f>VLOOKUP(A146,LookupLists!$I$3:$L$60,2,FALSE)</f>
        <v>#N/A</v>
      </c>
      <c r="J146" s="3" t="e">
        <f>VLOOKUP(A146,LookupLists!$I$3:$L$60,3,FALSE)</f>
        <v>#N/A</v>
      </c>
      <c r="K146" s="3" t="e">
        <f>VLOOKUP(A146,LookupLists!$I$3:$L$60,4,FALSE)</f>
        <v>#N/A</v>
      </c>
      <c r="L146" s="3" t="e">
        <f>VLOOKUP(C146,LookupLists!$A$3:$G$60,1,FALSE)</f>
        <v>#N/A</v>
      </c>
      <c r="M146" s="3" t="e">
        <f>VLOOKUP(C146,LookupLists!$A$3:$G$60,4,FALSE)</f>
        <v>#N/A</v>
      </c>
      <c r="N146" s="3" t="e">
        <f>VLOOKUP(C146,LookupLists!$A$3:$G$60,2,FALSE)</f>
        <v>#N/A</v>
      </c>
      <c r="O146" s="3" t="e">
        <f>VLOOKUP(C146,LookupLists!$A$3:$G$60,3,FALSE)</f>
        <v>#N/A</v>
      </c>
      <c r="P146" s="3" t="e">
        <f>VLOOKUP(C146,LookupLists!$A$3:$G$60,5,FALSE)</f>
        <v>#N/A</v>
      </c>
      <c r="Q146" s="3" t="e">
        <f>VLOOKUP(C146,LookupLists!$A$3:$G$60,6,FALSE)</f>
        <v>#N/A</v>
      </c>
      <c r="R146" s="4" t="e">
        <f>VLOOKUP(C146,LookupLists!$A$3:$G$60,7,FALSE)</f>
        <v>#N/A</v>
      </c>
      <c r="S146" s="3" t="e">
        <f>VLOOKUP(D146,LookupLists!$N$4:$T$60,1,FALSE)</f>
        <v>#N/A</v>
      </c>
      <c r="T146" s="3" t="e">
        <f>VLOOKUP(D146,LookupLists!$N$4:$T$60,2,FALSE)</f>
        <v>#N/A</v>
      </c>
      <c r="U146" s="3" t="e">
        <f>VLOOKUP(D146,LookupLists!$N$4:$T$60,3,FALSE)</f>
        <v>#N/A</v>
      </c>
      <c r="V146" s="3" t="e">
        <f>VLOOKUP(D146,LookupLists!$N$4:$T$60,5,FALSE)</f>
        <v>#N/A</v>
      </c>
    </row>
    <row r="147" spans="5:22" x14ac:dyDescent="0.3">
      <c r="E147" s="3" t="str">
        <f t="shared" si="2"/>
        <v/>
      </c>
      <c r="F147" s="3" t="str">
        <f xml:space="preserve"> IF(E147="","",  IFERROR(VLOOKUP(D147,LookupLists!$N$3:$T$60,6,FALSE)-LEN(E147),0))</f>
        <v/>
      </c>
      <c r="G147" s="3" t="str">
        <f>IF(E147="","",IFERROR(matches(E147,VLOOKUP(D147,LookupLists!$N$3:$T$60,7,FALSE)),FALSE))</f>
        <v/>
      </c>
      <c r="H147" s="3" t="e">
        <f>VLOOKUP(A147,LookupLists!$I$3:$L$60,1,FALSE)</f>
        <v>#N/A</v>
      </c>
      <c r="I147" s="3" t="e">
        <f>VLOOKUP(A147,LookupLists!$I$3:$L$60,2,FALSE)</f>
        <v>#N/A</v>
      </c>
      <c r="J147" s="3" t="e">
        <f>VLOOKUP(A147,LookupLists!$I$3:$L$60,3,FALSE)</f>
        <v>#N/A</v>
      </c>
      <c r="K147" s="3" t="e">
        <f>VLOOKUP(A147,LookupLists!$I$3:$L$60,4,FALSE)</f>
        <v>#N/A</v>
      </c>
      <c r="L147" s="3" t="e">
        <f>VLOOKUP(C147,LookupLists!$A$3:$G$60,1,FALSE)</f>
        <v>#N/A</v>
      </c>
      <c r="M147" s="3" t="e">
        <f>VLOOKUP(C147,LookupLists!$A$3:$G$60,4,FALSE)</f>
        <v>#N/A</v>
      </c>
      <c r="N147" s="3" t="e">
        <f>VLOOKUP(C147,LookupLists!$A$3:$G$60,2,FALSE)</f>
        <v>#N/A</v>
      </c>
      <c r="O147" s="3" t="e">
        <f>VLOOKUP(C147,LookupLists!$A$3:$G$60,3,FALSE)</f>
        <v>#N/A</v>
      </c>
      <c r="P147" s="3" t="e">
        <f>VLOOKUP(C147,LookupLists!$A$3:$G$60,5,FALSE)</f>
        <v>#N/A</v>
      </c>
      <c r="Q147" s="3" t="e">
        <f>VLOOKUP(C147,LookupLists!$A$3:$G$60,6,FALSE)</f>
        <v>#N/A</v>
      </c>
      <c r="R147" s="4" t="e">
        <f>VLOOKUP(C147,LookupLists!$A$3:$G$60,7,FALSE)</f>
        <v>#N/A</v>
      </c>
      <c r="S147" s="3" t="e">
        <f>VLOOKUP(D147,LookupLists!$N$4:$T$60,1,FALSE)</f>
        <v>#N/A</v>
      </c>
      <c r="T147" s="3" t="e">
        <f>VLOOKUP(D147,LookupLists!$N$4:$T$60,2,FALSE)</f>
        <v>#N/A</v>
      </c>
      <c r="U147" s="3" t="e">
        <f>VLOOKUP(D147,LookupLists!$N$4:$T$60,3,FALSE)</f>
        <v>#N/A</v>
      </c>
      <c r="V147" s="3" t="e">
        <f>VLOOKUP(D147,LookupLists!$N$4:$T$60,5,FALSE)</f>
        <v>#N/A</v>
      </c>
    </row>
    <row r="148" spans="5:22" x14ac:dyDescent="0.3">
      <c r="E148" s="3" t="str">
        <f t="shared" si="2"/>
        <v/>
      </c>
      <c r="F148" s="3" t="str">
        <f xml:space="preserve"> IF(E148="","",  IFERROR(VLOOKUP(D148,LookupLists!$N$3:$T$60,6,FALSE)-LEN(E148),0))</f>
        <v/>
      </c>
      <c r="G148" s="3" t="str">
        <f>IF(E148="","",IFERROR(matches(E148,VLOOKUP(D148,LookupLists!$N$3:$T$60,7,FALSE)),FALSE))</f>
        <v/>
      </c>
      <c r="H148" s="3" t="e">
        <f>VLOOKUP(A148,LookupLists!$I$3:$L$60,1,FALSE)</f>
        <v>#N/A</v>
      </c>
      <c r="I148" s="3" t="e">
        <f>VLOOKUP(A148,LookupLists!$I$3:$L$60,2,FALSE)</f>
        <v>#N/A</v>
      </c>
      <c r="J148" s="3" t="e">
        <f>VLOOKUP(A148,LookupLists!$I$3:$L$60,3,FALSE)</f>
        <v>#N/A</v>
      </c>
      <c r="K148" s="3" t="e">
        <f>VLOOKUP(A148,LookupLists!$I$3:$L$60,4,FALSE)</f>
        <v>#N/A</v>
      </c>
      <c r="L148" s="3" t="e">
        <f>VLOOKUP(C148,LookupLists!$A$3:$G$60,1,FALSE)</f>
        <v>#N/A</v>
      </c>
      <c r="M148" s="3" t="e">
        <f>VLOOKUP(C148,LookupLists!$A$3:$G$60,4,FALSE)</f>
        <v>#N/A</v>
      </c>
      <c r="N148" s="3" t="e">
        <f>VLOOKUP(C148,LookupLists!$A$3:$G$60,2,FALSE)</f>
        <v>#N/A</v>
      </c>
      <c r="O148" s="3" t="e">
        <f>VLOOKUP(C148,LookupLists!$A$3:$G$60,3,FALSE)</f>
        <v>#N/A</v>
      </c>
      <c r="P148" s="3" t="e">
        <f>VLOOKUP(C148,LookupLists!$A$3:$G$60,5,FALSE)</f>
        <v>#N/A</v>
      </c>
      <c r="Q148" s="3" t="e">
        <f>VLOOKUP(C148,LookupLists!$A$3:$G$60,6,FALSE)</f>
        <v>#N/A</v>
      </c>
      <c r="R148" s="4" t="e">
        <f>VLOOKUP(C148,LookupLists!$A$3:$G$60,7,FALSE)</f>
        <v>#N/A</v>
      </c>
      <c r="S148" s="3" t="e">
        <f>VLOOKUP(D148,LookupLists!$N$4:$T$60,1,FALSE)</f>
        <v>#N/A</v>
      </c>
      <c r="T148" s="3" t="e">
        <f>VLOOKUP(D148,LookupLists!$N$4:$T$60,2,FALSE)</f>
        <v>#N/A</v>
      </c>
      <c r="U148" s="3" t="e">
        <f>VLOOKUP(D148,LookupLists!$N$4:$T$60,3,FALSE)</f>
        <v>#N/A</v>
      </c>
      <c r="V148" s="3" t="e">
        <f>VLOOKUP(D148,LookupLists!$N$4:$T$60,5,FALSE)</f>
        <v>#N/A</v>
      </c>
    </row>
    <row r="149" spans="5:22" x14ac:dyDescent="0.3">
      <c r="E149" s="3" t="str">
        <f t="shared" si="2"/>
        <v/>
      </c>
      <c r="F149" s="3" t="str">
        <f xml:space="preserve"> IF(E149="","",  IFERROR(VLOOKUP(D149,LookupLists!$N$3:$T$60,6,FALSE)-LEN(E149),0))</f>
        <v/>
      </c>
      <c r="G149" s="3" t="str">
        <f>IF(E149="","",IFERROR(matches(E149,VLOOKUP(D149,LookupLists!$N$3:$T$60,7,FALSE)),FALSE))</f>
        <v/>
      </c>
      <c r="H149" s="3" t="e">
        <f>VLOOKUP(A149,LookupLists!$I$3:$L$60,1,FALSE)</f>
        <v>#N/A</v>
      </c>
      <c r="I149" s="3" t="e">
        <f>VLOOKUP(A149,LookupLists!$I$3:$L$60,2,FALSE)</f>
        <v>#N/A</v>
      </c>
      <c r="J149" s="3" t="e">
        <f>VLOOKUP(A149,LookupLists!$I$3:$L$60,3,FALSE)</f>
        <v>#N/A</v>
      </c>
      <c r="K149" s="3" t="e">
        <f>VLOOKUP(A149,LookupLists!$I$3:$L$60,4,FALSE)</f>
        <v>#N/A</v>
      </c>
      <c r="L149" s="3" t="e">
        <f>VLOOKUP(C149,LookupLists!$A$3:$G$60,1,FALSE)</f>
        <v>#N/A</v>
      </c>
      <c r="M149" s="3" t="e">
        <f>VLOOKUP(C149,LookupLists!$A$3:$G$60,4,FALSE)</f>
        <v>#N/A</v>
      </c>
      <c r="N149" s="3" t="e">
        <f>VLOOKUP(C149,LookupLists!$A$3:$G$60,2,FALSE)</f>
        <v>#N/A</v>
      </c>
      <c r="O149" s="3" t="e">
        <f>VLOOKUP(C149,LookupLists!$A$3:$G$60,3,FALSE)</f>
        <v>#N/A</v>
      </c>
      <c r="P149" s="3" t="e">
        <f>VLOOKUP(C149,LookupLists!$A$3:$G$60,5,FALSE)</f>
        <v>#N/A</v>
      </c>
      <c r="Q149" s="3" t="e">
        <f>VLOOKUP(C149,LookupLists!$A$3:$G$60,6,FALSE)</f>
        <v>#N/A</v>
      </c>
      <c r="R149" s="4" t="e">
        <f>VLOOKUP(C149,LookupLists!$A$3:$G$60,7,FALSE)</f>
        <v>#N/A</v>
      </c>
      <c r="S149" s="3" t="e">
        <f>VLOOKUP(D149,LookupLists!$N$4:$T$60,1,FALSE)</f>
        <v>#N/A</v>
      </c>
      <c r="T149" s="3" t="e">
        <f>VLOOKUP(D149,LookupLists!$N$4:$T$60,2,FALSE)</f>
        <v>#N/A</v>
      </c>
      <c r="U149" s="3" t="e">
        <f>VLOOKUP(D149,LookupLists!$N$4:$T$60,3,FALSE)</f>
        <v>#N/A</v>
      </c>
      <c r="V149" s="3" t="e">
        <f>VLOOKUP(D149,LookupLists!$N$4:$T$60,5,FALSE)</f>
        <v>#N/A</v>
      </c>
    </row>
    <row r="150" spans="5:22" x14ac:dyDescent="0.3">
      <c r="E150" s="3" t="str">
        <f t="shared" si="2"/>
        <v/>
      </c>
      <c r="F150" s="3" t="str">
        <f xml:space="preserve"> IF(E150="","",  IFERROR(VLOOKUP(D150,LookupLists!$N$3:$T$60,6,FALSE)-LEN(E150),0))</f>
        <v/>
      </c>
      <c r="G150" s="3" t="str">
        <f>IF(E150="","",IFERROR(matches(E150,VLOOKUP(D150,LookupLists!$N$3:$T$60,7,FALSE)),FALSE))</f>
        <v/>
      </c>
      <c r="H150" s="3" t="e">
        <f>VLOOKUP(A150,LookupLists!$I$3:$L$60,1,FALSE)</f>
        <v>#N/A</v>
      </c>
      <c r="I150" s="3" t="e">
        <f>VLOOKUP(A150,LookupLists!$I$3:$L$60,2,FALSE)</f>
        <v>#N/A</v>
      </c>
      <c r="J150" s="3" t="e">
        <f>VLOOKUP(A150,LookupLists!$I$3:$L$60,3,FALSE)</f>
        <v>#N/A</v>
      </c>
      <c r="K150" s="3" t="e">
        <f>VLOOKUP(A150,LookupLists!$I$3:$L$60,4,FALSE)</f>
        <v>#N/A</v>
      </c>
      <c r="L150" s="3" t="e">
        <f>VLOOKUP(C150,LookupLists!$A$3:$G$60,1,FALSE)</f>
        <v>#N/A</v>
      </c>
      <c r="M150" s="3" t="e">
        <f>VLOOKUP(C150,LookupLists!$A$3:$G$60,4,FALSE)</f>
        <v>#N/A</v>
      </c>
      <c r="N150" s="3" t="e">
        <f>VLOOKUP(C150,LookupLists!$A$3:$G$60,2,FALSE)</f>
        <v>#N/A</v>
      </c>
      <c r="O150" s="3" t="e">
        <f>VLOOKUP(C150,LookupLists!$A$3:$G$60,3,FALSE)</f>
        <v>#N/A</v>
      </c>
      <c r="P150" s="3" t="e">
        <f>VLOOKUP(C150,LookupLists!$A$3:$G$60,5,FALSE)</f>
        <v>#N/A</v>
      </c>
      <c r="Q150" s="3" t="e">
        <f>VLOOKUP(C150,LookupLists!$A$3:$G$60,6,FALSE)</f>
        <v>#N/A</v>
      </c>
      <c r="R150" s="4" t="e">
        <f>VLOOKUP(C150,LookupLists!$A$3:$G$60,7,FALSE)</f>
        <v>#N/A</v>
      </c>
      <c r="S150" s="3" t="e">
        <f>VLOOKUP(D150,LookupLists!$N$4:$T$60,1,FALSE)</f>
        <v>#N/A</v>
      </c>
      <c r="T150" s="3" t="e">
        <f>VLOOKUP(D150,LookupLists!$N$4:$T$60,2,FALSE)</f>
        <v>#N/A</v>
      </c>
      <c r="U150" s="3" t="e">
        <f>VLOOKUP(D150,LookupLists!$N$4:$T$60,3,FALSE)</f>
        <v>#N/A</v>
      </c>
      <c r="V150" s="3" t="e">
        <f>VLOOKUP(D150,LookupLists!$N$4:$T$60,5,FALSE)</f>
        <v>#N/A</v>
      </c>
    </row>
    <row r="151" spans="5:22" x14ac:dyDescent="0.3">
      <c r="E151" s="3" t="str">
        <f t="shared" si="2"/>
        <v/>
      </c>
      <c r="F151" s="3" t="str">
        <f xml:space="preserve"> IF(E151="","",  IFERROR(VLOOKUP(D151,LookupLists!$N$3:$T$60,6,FALSE)-LEN(E151),0))</f>
        <v/>
      </c>
      <c r="G151" s="3" t="str">
        <f>IF(E151="","",IFERROR(matches(E151,VLOOKUP(D151,LookupLists!$N$3:$T$60,7,FALSE)),FALSE))</f>
        <v/>
      </c>
      <c r="H151" s="3" t="e">
        <f>VLOOKUP(A151,LookupLists!$I$3:$L$60,1,FALSE)</f>
        <v>#N/A</v>
      </c>
      <c r="I151" s="3" t="e">
        <f>VLOOKUP(A151,LookupLists!$I$3:$L$60,2,FALSE)</f>
        <v>#N/A</v>
      </c>
      <c r="J151" s="3" t="e">
        <f>VLOOKUP(A151,LookupLists!$I$3:$L$60,3,FALSE)</f>
        <v>#N/A</v>
      </c>
      <c r="K151" s="3" t="e">
        <f>VLOOKUP(A151,LookupLists!$I$3:$L$60,4,FALSE)</f>
        <v>#N/A</v>
      </c>
      <c r="L151" s="3" t="e">
        <f>VLOOKUP(C151,LookupLists!$A$3:$G$60,1,FALSE)</f>
        <v>#N/A</v>
      </c>
      <c r="M151" s="3" t="e">
        <f>VLOOKUP(C151,LookupLists!$A$3:$G$60,4,FALSE)</f>
        <v>#N/A</v>
      </c>
      <c r="N151" s="3" t="e">
        <f>VLOOKUP(C151,LookupLists!$A$3:$G$60,2,FALSE)</f>
        <v>#N/A</v>
      </c>
      <c r="O151" s="3" t="e">
        <f>VLOOKUP(C151,LookupLists!$A$3:$G$60,3,FALSE)</f>
        <v>#N/A</v>
      </c>
      <c r="P151" s="3" t="e">
        <f>VLOOKUP(C151,LookupLists!$A$3:$G$60,5,FALSE)</f>
        <v>#N/A</v>
      </c>
      <c r="Q151" s="3" t="e">
        <f>VLOOKUP(C151,LookupLists!$A$3:$G$60,6,FALSE)</f>
        <v>#N/A</v>
      </c>
      <c r="R151" s="4" t="e">
        <f>VLOOKUP(C151,LookupLists!$A$3:$G$60,7,FALSE)</f>
        <v>#N/A</v>
      </c>
      <c r="S151" s="3" t="e">
        <f>VLOOKUP(D151,LookupLists!$N$4:$T$60,1,FALSE)</f>
        <v>#N/A</v>
      </c>
      <c r="T151" s="3" t="e">
        <f>VLOOKUP(D151,LookupLists!$N$4:$T$60,2,FALSE)</f>
        <v>#N/A</v>
      </c>
      <c r="U151" s="3" t="e">
        <f>VLOOKUP(D151,LookupLists!$N$4:$T$60,3,FALSE)</f>
        <v>#N/A</v>
      </c>
      <c r="V151" s="3" t="e">
        <f>VLOOKUP(D151,LookupLists!$N$4:$T$60,5,FALSE)</f>
        <v>#N/A</v>
      </c>
    </row>
    <row r="152" spans="5:22" x14ac:dyDescent="0.3">
      <c r="E152" s="3" t="str">
        <f t="shared" si="2"/>
        <v/>
      </c>
      <c r="F152" s="3" t="str">
        <f xml:space="preserve"> IF(E152="","",  IFERROR(VLOOKUP(D152,LookupLists!$N$3:$T$60,6,FALSE)-LEN(E152),0))</f>
        <v/>
      </c>
      <c r="G152" s="3" t="str">
        <f>IF(E152="","",IFERROR(matches(E152,VLOOKUP(D152,LookupLists!$N$3:$T$60,7,FALSE)),FALSE))</f>
        <v/>
      </c>
      <c r="H152" s="3" t="e">
        <f>VLOOKUP(A152,LookupLists!$I$3:$L$60,1,FALSE)</f>
        <v>#N/A</v>
      </c>
      <c r="I152" s="3" t="e">
        <f>VLOOKUP(A152,LookupLists!$I$3:$L$60,2,FALSE)</f>
        <v>#N/A</v>
      </c>
      <c r="J152" s="3" t="e">
        <f>VLOOKUP(A152,LookupLists!$I$3:$L$60,3,FALSE)</f>
        <v>#N/A</v>
      </c>
      <c r="K152" s="3" t="e">
        <f>VLOOKUP(A152,LookupLists!$I$3:$L$60,4,FALSE)</f>
        <v>#N/A</v>
      </c>
      <c r="L152" s="3" t="e">
        <f>VLOOKUP(C152,LookupLists!$A$3:$G$60,1,FALSE)</f>
        <v>#N/A</v>
      </c>
      <c r="M152" s="3" t="e">
        <f>VLOOKUP(C152,LookupLists!$A$3:$G$60,4,FALSE)</f>
        <v>#N/A</v>
      </c>
      <c r="N152" s="3" t="e">
        <f>VLOOKUP(C152,LookupLists!$A$3:$G$60,2,FALSE)</f>
        <v>#N/A</v>
      </c>
      <c r="O152" s="3" t="e">
        <f>VLOOKUP(C152,LookupLists!$A$3:$G$60,3,FALSE)</f>
        <v>#N/A</v>
      </c>
      <c r="P152" s="3" t="e">
        <f>VLOOKUP(C152,LookupLists!$A$3:$G$60,5,FALSE)</f>
        <v>#N/A</v>
      </c>
      <c r="Q152" s="3" t="e">
        <f>VLOOKUP(C152,LookupLists!$A$3:$G$60,6,FALSE)</f>
        <v>#N/A</v>
      </c>
      <c r="R152" s="4" t="e">
        <f>VLOOKUP(C152,LookupLists!$A$3:$G$60,7,FALSE)</f>
        <v>#N/A</v>
      </c>
      <c r="S152" s="3" t="e">
        <f>VLOOKUP(D152,LookupLists!$N$4:$T$60,1,FALSE)</f>
        <v>#N/A</v>
      </c>
      <c r="T152" s="3" t="e">
        <f>VLOOKUP(D152,LookupLists!$N$4:$T$60,2,FALSE)</f>
        <v>#N/A</v>
      </c>
      <c r="U152" s="3" t="e">
        <f>VLOOKUP(D152,LookupLists!$N$4:$T$60,3,FALSE)</f>
        <v>#N/A</v>
      </c>
      <c r="V152" s="3" t="e">
        <f>VLOOKUP(D152,LookupLists!$N$4:$T$60,5,FALSE)</f>
        <v>#N/A</v>
      </c>
    </row>
    <row r="153" spans="5:22" x14ac:dyDescent="0.3">
      <c r="E153" s="3" t="str">
        <f t="shared" si="2"/>
        <v/>
      </c>
      <c r="F153" s="3" t="str">
        <f xml:space="preserve"> IF(E153="","",  IFERROR(VLOOKUP(D153,LookupLists!$N$3:$T$60,6,FALSE)-LEN(E153),0))</f>
        <v/>
      </c>
      <c r="G153" s="3" t="str">
        <f>IF(E153="","",IFERROR(matches(E153,VLOOKUP(D153,LookupLists!$N$3:$T$60,7,FALSE)),FALSE))</f>
        <v/>
      </c>
      <c r="H153" s="3" t="e">
        <f>VLOOKUP(A153,LookupLists!$I$3:$L$60,1,FALSE)</f>
        <v>#N/A</v>
      </c>
      <c r="I153" s="3" t="e">
        <f>VLOOKUP(A153,LookupLists!$I$3:$L$60,2,FALSE)</f>
        <v>#N/A</v>
      </c>
      <c r="J153" s="3" t="e">
        <f>VLOOKUP(A153,LookupLists!$I$3:$L$60,3,FALSE)</f>
        <v>#N/A</v>
      </c>
      <c r="K153" s="3" t="e">
        <f>VLOOKUP(A153,LookupLists!$I$3:$L$60,4,FALSE)</f>
        <v>#N/A</v>
      </c>
      <c r="L153" s="3" t="e">
        <f>VLOOKUP(C153,LookupLists!$A$3:$G$60,1,FALSE)</f>
        <v>#N/A</v>
      </c>
      <c r="M153" s="3" t="e">
        <f>VLOOKUP(C153,LookupLists!$A$3:$G$60,4,FALSE)</f>
        <v>#N/A</v>
      </c>
      <c r="N153" s="3" t="e">
        <f>VLOOKUP(C153,LookupLists!$A$3:$G$60,2,FALSE)</f>
        <v>#N/A</v>
      </c>
      <c r="O153" s="3" t="e">
        <f>VLOOKUP(C153,LookupLists!$A$3:$G$60,3,FALSE)</f>
        <v>#N/A</v>
      </c>
      <c r="P153" s="3" t="e">
        <f>VLOOKUP(C153,LookupLists!$A$3:$G$60,5,FALSE)</f>
        <v>#N/A</v>
      </c>
      <c r="Q153" s="3" t="e">
        <f>VLOOKUP(C153,LookupLists!$A$3:$G$60,6,FALSE)</f>
        <v>#N/A</v>
      </c>
      <c r="R153" s="4" t="e">
        <f>VLOOKUP(C153,LookupLists!$A$3:$G$60,7,FALSE)</f>
        <v>#N/A</v>
      </c>
      <c r="S153" s="3" t="e">
        <f>VLOOKUP(D153,LookupLists!$N$4:$T$60,1,FALSE)</f>
        <v>#N/A</v>
      </c>
      <c r="T153" s="3" t="e">
        <f>VLOOKUP(D153,LookupLists!$N$4:$T$60,2,FALSE)</f>
        <v>#N/A</v>
      </c>
      <c r="U153" s="3" t="e">
        <f>VLOOKUP(D153,LookupLists!$N$4:$T$60,3,FALSE)</f>
        <v>#N/A</v>
      </c>
      <c r="V153" s="3" t="e">
        <f>VLOOKUP(D153,LookupLists!$N$4:$T$60,5,FALSE)</f>
        <v>#N/A</v>
      </c>
    </row>
    <row r="154" spans="5:22" x14ac:dyDescent="0.3">
      <c r="E154" s="3" t="str">
        <f t="shared" si="2"/>
        <v/>
      </c>
      <c r="F154" s="3" t="str">
        <f xml:space="preserve"> IF(E154="","",  IFERROR(VLOOKUP(D154,LookupLists!$N$3:$T$60,6,FALSE)-LEN(E154),0))</f>
        <v/>
      </c>
      <c r="G154" s="3" t="str">
        <f>IF(E154="","",IFERROR(matches(E154,VLOOKUP(D154,LookupLists!$N$3:$T$60,7,FALSE)),FALSE))</f>
        <v/>
      </c>
      <c r="H154" s="3" t="e">
        <f>VLOOKUP(A154,LookupLists!$I$3:$L$60,1,FALSE)</f>
        <v>#N/A</v>
      </c>
      <c r="I154" s="3" t="e">
        <f>VLOOKUP(A154,LookupLists!$I$3:$L$60,2,FALSE)</f>
        <v>#N/A</v>
      </c>
      <c r="J154" s="3" t="e">
        <f>VLOOKUP(A154,LookupLists!$I$3:$L$60,3,FALSE)</f>
        <v>#N/A</v>
      </c>
      <c r="K154" s="3" t="e">
        <f>VLOOKUP(A154,LookupLists!$I$3:$L$60,4,FALSE)</f>
        <v>#N/A</v>
      </c>
      <c r="L154" s="3" t="e">
        <f>VLOOKUP(C154,LookupLists!$A$3:$G$60,1,FALSE)</f>
        <v>#N/A</v>
      </c>
      <c r="M154" s="3" t="e">
        <f>VLOOKUP(C154,LookupLists!$A$3:$G$60,4,FALSE)</f>
        <v>#N/A</v>
      </c>
      <c r="N154" s="3" t="e">
        <f>VLOOKUP(C154,LookupLists!$A$3:$G$60,2,FALSE)</f>
        <v>#N/A</v>
      </c>
      <c r="O154" s="3" t="e">
        <f>VLOOKUP(C154,LookupLists!$A$3:$G$60,3,FALSE)</f>
        <v>#N/A</v>
      </c>
      <c r="P154" s="3" t="e">
        <f>VLOOKUP(C154,LookupLists!$A$3:$G$60,5,FALSE)</f>
        <v>#N/A</v>
      </c>
      <c r="Q154" s="3" t="e">
        <f>VLOOKUP(C154,LookupLists!$A$3:$G$60,6,FALSE)</f>
        <v>#N/A</v>
      </c>
      <c r="R154" s="4" t="e">
        <f>VLOOKUP(C154,LookupLists!$A$3:$G$60,7,FALSE)</f>
        <v>#N/A</v>
      </c>
      <c r="S154" s="3" t="e">
        <f>VLOOKUP(D154,LookupLists!$N$4:$T$60,1,FALSE)</f>
        <v>#N/A</v>
      </c>
      <c r="T154" s="3" t="e">
        <f>VLOOKUP(D154,LookupLists!$N$4:$T$60,2,FALSE)</f>
        <v>#N/A</v>
      </c>
      <c r="U154" s="3" t="e">
        <f>VLOOKUP(D154,LookupLists!$N$4:$T$60,3,FALSE)</f>
        <v>#N/A</v>
      </c>
      <c r="V154" s="3" t="e">
        <f>VLOOKUP(D154,LookupLists!$N$4:$T$60,5,FALSE)</f>
        <v>#N/A</v>
      </c>
    </row>
    <row r="155" spans="5:22" x14ac:dyDescent="0.3">
      <c r="E155" s="3" t="str">
        <f t="shared" si="2"/>
        <v/>
      </c>
      <c r="F155" s="3" t="str">
        <f xml:space="preserve"> IF(E155="","",  IFERROR(VLOOKUP(D155,LookupLists!$N$3:$T$60,6,FALSE)-LEN(E155),0))</f>
        <v/>
      </c>
      <c r="G155" s="3" t="str">
        <f>IF(E155="","",IFERROR(matches(E155,VLOOKUP(D155,LookupLists!$N$3:$T$60,7,FALSE)),FALSE))</f>
        <v/>
      </c>
      <c r="H155" s="3" t="e">
        <f>VLOOKUP(A155,LookupLists!$I$3:$L$60,1,FALSE)</f>
        <v>#N/A</v>
      </c>
      <c r="I155" s="3" t="e">
        <f>VLOOKUP(A155,LookupLists!$I$3:$L$60,2,FALSE)</f>
        <v>#N/A</v>
      </c>
      <c r="J155" s="3" t="e">
        <f>VLOOKUP(A155,LookupLists!$I$3:$L$60,3,FALSE)</f>
        <v>#N/A</v>
      </c>
      <c r="K155" s="3" t="e">
        <f>VLOOKUP(A155,LookupLists!$I$3:$L$60,4,FALSE)</f>
        <v>#N/A</v>
      </c>
      <c r="L155" s="3" t="e">
        <f>VLOOKUP(C155,LookupLists!$A$3:$G$60,1,FALSE)</f>
        <v>#N/A</v>
      </c>
      <c r="M155" s="3" t="e">
        <f>VLOOKUP(C155,LookupLists!$A$3:$G$60,4,FALSE)</f>
        <v>#N/A</v>
      </c>
      <c r="N155" s="3" t="e">
        <f>VLOOKUP(C155,LookupLists!$A$3:$G$60,2,FALSE)</f>
        <v>#N/A</v>
      </c>
      <c r="O155" s="3" t="e">
        <f>VLOOKUP(C155,LookupLists!$A$3:$G$60,3,FALSE)</f>
        <v>#N/A</v>
      </c>
      <c r="P155" s="3" t="e">
        <f>VLOOKUP(C155,LookupLists!$A$3:$G$60,5,FALSE)</f>
        <v>#N/A</v>
      </c>
      <c r="Q155" s="3" t="e">
        <f>VLOOKUP(C155,LookupLists!$A$3:$G$60,6,FALSE)</f>
        <v>#N/A</v>
      </c>
      <c r="R155" s="4" t="e">
        <f>VLOOKUP(C155,LookupLists!$A$3:$G$60,7,FALSE)</f>
        <v>#N/A</v>
      </c>
      <c r="S155" s="3" t="e">
        <f>VLOOKUP(D155,LookupLists!$N$4:$T$60,1,FALSE)</f>
        <v>#N/A</v>
      </c>
      <c r="T155" s="3" t="e">
        <f>VLOOKUP(D155,LookupLists!$N$4:$T$60,2,FALSE)</f>
        <v>#N/A</v>
      </c>
      <c r="U155" s="3" t="e">
        <f>VLOOKUP(D155,LookupLists!$N$4:$T$60,3,FALSE)</f>
        <v>#N/A</v>
      </c>
      <c r="V155" s="3" t="e">
        <f>VLOOKUP(D155,LookupLists!$N$4:$T$60,5,FALSE)</f>
        <v>#N/A</v>
      </c>
    </row>
    <row r="156" spans="5:22" x14ac:dyDescent="0.3">
      <c r="E156" s="3" t="str">
        <f t="shared" si="2"/>
        <v/>
      </c>
      <c r="F156" s="3" t="str">
        <f xml:space="preserve"> IF(E156="","",  IFERROR(VLOOKUP(D156,LookupLists!$N$3:$T$60,6,FALSE)-LEN(E156),0))</f>
        <v/>
      </c>
      <c r="G156" s="3" t="str">
        <f>IF(E156="","",IFERROR(matches(E156,VLOOKUP(D156,LookupLists!$N$3:$T$60,7,FALSE)),FALSE))</f>
        <v/>
      </c>
      <c r="H156" s="3" t="e">
        <f>VLOOKUP(A156,LookupLists!$I$3:$L$60,1,FALSE)</f>
        <v>#N/A</v>
      </c>
      <c r="I156" s="3" t="e">
        <f>VLOOKUP(A156,LookupLists!$I$3:$L$60,2,FALSE)</f>
        <v>#N/A</v>
      </c>
      <c r="J156" s="3" t="e">
        <f>VLOOKUP(A156,LookupLists!$I$3:$L$60,3,FALSE)</f>
        <v>#N/A</v>
      </c>
      <c r="K156" s="3" t="e">
        <f>VLOOKUP(A156,LookupLists!$I$3:$L$60,4,FALSE)</f>
        <v>#N/A</v>
      </c>
      <c r="L156" s="3" t="e">
        <f>VLOOKUP(C156,LookupLists!$A$3:$G$60,1,FALSE)</f>
        <v>#N/A</v>
      </c>
      <c r="M156" s="3" t="e">
        <f>VLOOKUP(C156,LookupLists!$A$3:$G$60,4,FALSE)</f>
        <v>#N/A</v>
      </c>
      <c r="N156" s="3" t="e">
        <f>VLOOKUP(C156,LookupLists!$A$3:$G$60,2,FALSE)</f>
        <v>#N/A</v>
      </c>
      <c r="O156" s="3" t="e">
        <f>VLOOKUP(C156,LookupLists!$A$3:$G$60,3,FALSE)</f>
        <v>#N/A</v>
      </c>
      <c r="P156" s="3" t="e">
        <f>VLOOKUP(C156,LookupLists!$A$3:$G$60,5,FALSE)</f>
        <v>#N/A</v>
      </c>
      <c r="Q156" s="3" t="e">
        <f>VLOOKUP(C156,LookupLists!$A$3:$G$60,6,FALSE)</f>
        <v>#N/A</v>
      </c>
      <c r="R156" s="4" t="e">
        <f>VLOOKUP(C156,LookupLists!$A$3:$G$60,7,FALSE)</f>
        <v>#N/A</v>
      </c>
      <c r="S156" s="3" t="e">
        <f>VLOOKUP(D156,LookupLists!$N$4:$T$60,1,FALSE)</f>
        <v>#N/A</v>
      </c>
      <c r="T156" s="3" t="e">
        <f>VLOOKUP(D156,LookupLists!$N$4:$T$60,2,FALSE)</f>
        <v>#N/A</v>
      </c>
      <c r="U156" s="3" t="e">
        <f>VLOOKUP(D156,LookupLists!$N$4:$T$60,3,FALSE)</f>
        <v>#N/A</v>
      </c>
      <c r="V156" s="3" t="e">
        <f>VLOOKUP(D156,LookupLists!$N$4:$T$60,5,FALSE)</f>
        <v>#N/A</v>
      </c>
    </row>
    <row r="157" spans="5:22" x14ac:dyDescent="0.3">
      <c r="E157" s="3" t="str">
        <f t="shared" si="2"/>
        <v/>
      </c>
      <c r="F157" s="3" t="str">
        <f xml:space="preserve"> IF(E157="","",  IFERROR(VLOOKUP(D157,LookupLists!$N$3:$T$60,6,FALSE)-LEN(E157),0))</f>
        <v/>
      </c>
      <c r="G157" s="3" t="str">
        <f>IF(E157="","",IFERROR(matches(E157,VLOOKUP(D157,LookupLists!$N$3:$T$60,7,FALSE)),FALSE))</f>
        <v/>
      </c>
      <c r="H157" s="3" t="e">
        <f>VLOOKUP(A157,LookupLists!$I$3:$L$60,1,FALSE)</f>
        <v>#N/A</v>
      </c>
      <c r="I157" s="3" t="e">
        <f>VLOOKUP(A157,LookupLists!$I$3:$L$60,2,FALSE)</f>
        <v>#N/A</v>
      </c>
      <c r="J157" s="3" t="e">
        <f>VLOOKUP(A157,LookupLists!$I$3:$L$60,3,FALSE)</f>
        <v>#N/A</v>
      </c>
      <c r="K157" s="3" t="e">
        <f>VLOOKUP(A157,LookupLists!$I$3:$L$60,4,FALSE)</f>
        <v>#N/A</v>
      </c>
      <c r="L157" s="3" t="e">
        <f>VLOOKUP(C157,LookupLists!$A$3:$G$60,1,FALSE)</f>
        <v>#N/A</v>
      </c>
      <c r="M157" s="3" t="e">
        <f>VLOOKUP(C157,LookupLists!$A$3:$G$60,4,FALSE)</f>
        <v>#N/A</v>
      </c>
      <c r="N157" s="3" t="e">
        <f>VLOOKUP(C157,LookupLists!$A$3:$G$60,2,FALSE)</f>
        <v>#N/A</v>
      </c>
      <c r="O157" s="3" t="e">
        <f>VLOOKUP(C157,LookupLists!$A$3:$G$60,3,FALSE)</f>
        <v>#N/A</v>
      </c>
      <c r="P157" s="3" t="e">
        <f>VLOOKUP(C157,LookupLists!$A$3:$G$60,5,FALSE)</f>
        <v>#N/A</v>
      </c>
      <c r="Q157" s="3" t="e">
        <f>VLOOKUP(C157,LookupLists!$A$3:$G$60,6,FALSE)</f>
        <v>#N/A</v>
      </c>
      <c r="R157" s="4" t="e">
        <f>VLOOKUP(C157,LookupLists!$A$3:$G$60,7,FALSE)</f>
        <v>#N/A</v>
      </c>
      <c r="S157" s="3" t="e">
        <f>VLOOKUP(D157,LookupLists!$N$4:$T$60,1,FALSE)</f>
        <v>#N/A</v>
      </c>
      <c r="T157" s="3" t="e">
        <f>VLOOKUP(D157,LookupLists!$N$4:$T$60,2,FALSE)</f>
        <v>#N/A</v>
      </c>
      <c r="U157" s="3" t="e">
        <f>VLOOKUP(D157,LookupLists!$N$4:$T$60,3,FALSE)</f>
        <v>#N/A</v>
      </c>
      <c r="V157" s="3" t="e">
        <f>VLOOKUP(D157,LookupLists!$N$4:$T$60,5,FALSE)</f>
        <v>#N/A</v>
      </c>
    </row>
    <row r="158" spans="5:22" x14ac:dyDescent="0.3">
      <c r="E158" s="3" t="str">
        <f t="shared" si="2"/>
        <v/>
      </c>
      <c r="F158" s="3" t="str">
        <f xml:space="preserve"> IF(E158="","",  IFERROR(VLOOKUP(D158,LookupLists!$N$3:$T$60,6,FALSE)-LEN(E158),0))</f>
        <v/>
      </c>
      <c r="G158" s="3" t="str">
        <f>IF(E158="","",IFERROR(matches(E158,VLOOKUP(D158,LookupLists!$N$3:$T$60,7,FALSE)),FALSE))</f>
        <v/>
      </c>
      <c r="H158" s="3" t="e">
        <f>VLOOKUP(A158,LookupLists!$I$3:$L$60,1,FALSE)</f>
        <v>#N/A</v>
      </c>
      <c r="I158" s="3" t="e">
        <f>VLOOKUP(A158,LookupLists!$I$3:$L$60,2,FALSE)</f>
        <v>#N/A</v>
      </c>
      <c r="J158" s="3" t="e">
        <f>VLOOKUP(A158,LookupLists!$I$3:$L$60,3,FALSE)</f>
        <v>#N/A</v>
      </c>
      <c r="K158" s="3" t="e">
        <f>VLOOKUP(A158,LookupLists!$I$3:$L$60,4,FALSE)</f>
        <v>#N/A</v>
      </c>
      <c r="L158" s="3" t="e">
        <f>VLOOKUP(C158,LookupLists!$A$3:$G$60,1,FALSE)</f>
        <v>#N/A</v>
      </c>
      <c r="M158" s="3" t="e">
        <f>VLOOKUP(C158,LookupLists!$A$3:$G$60,4,FALSE)</f>
        <v>#N/A</v>
      </c>
      <c r="N158" s="3" t="e">
        <f>VLOOKUP(C158,LookupLists!$A$3:$G$60,2,FALSE)</f>
        <v>#N/A</v>
      </c>
      <c r="O158" s="3" t="e">
        <f>VLOOKUP(C158,LookupLists!$A$3:$G$60,3,FALSE)</f>
        <v>#N/A</v>
      </c>
      <c r="P158" s="3" t="e">
        <f>VLOOKUP(C158,LookupLists!$A$3:$G$60,5,FALSE)</f>
        <v>#N/A</v>
      </c>
      <c r="Q158" s="3" t="e">
        <f>VLOOKUP(C158,LookupLists!$A$3:$G$60,6,FALSE)</f>
        <v>#N/A</v>
      </c>
      <c r="R158" s="4" t="e">
        <f>VLOOKUP(C158,LookupLists!$A$3:$G$60,7,FALSE)</f>
        <v>#N/A</v>
      </c>
      <c r="S158" s="3" t="e">
        <f>VLOOKUP(D158,LookupLists!$N$4:$T$60,1,FALSE)</f>
        <v>#N/A</v>
      </c>
      <c r="T158" s="3" t="e">
        <f>VLOOKUP(D158,LookupLists!$N$4:$T$60,2,FALSE)</f>
        <v>#N/A</v>
      </c>
      <c r="U158" s="3" t="e">
        <f>VLOOKUP(D158,LookupLists!$N$4:$T$60,3,FALSE)</f>
        <v>#N/A</v>
      </c>
      <c r="V158" s="3" t="e">
        <f>VLOOKUP(D158,LookupLists!$N$4:$T$60,5,FALSE)</f>
        <v>#N/A</v>
      </c>
    </row>
    <row r="159" spans="5:22" x14ac:dyDescent="0.3">
      <c r="E159" s="3" t="str">
        <f t="shared" si="2"/>
        <v/>
      </c>
      <c r="F159" s="3" t="str">
        <f xml:space="preserve"> IF(E159="","",  IFERROR(VLOOKUP(D159,LookupLists!$N$3:$T$60,6,FALSE)-LEN(E159),0))</f>
        <v/>
      </c>
      <c r="G159" s="3" t="str">
        <f>IF(E159="","",IFERROR(matches(E159,VLOOKUP(D159,LookupLists!$N$3:$T$60,7,FALSE)),FALSE))</f>
        <v/>
      </c>
      <c r="H159" s="3" t="e">
        <f>VLOOKUP(A159,LookupLists!$I$3:$L$60,1,FALSE)</f>
        <v>#N/A</v>
      </c>
      <c r="I159" s="3" t="e">
        <f>VLOOKUP(A159,LookupLists!$I$3:$L$60,2,FALSE)</f>
        <v>#N/A</v>
      </c>
      <c r="J159" s="3" t="e">
        <f>VLOOKUP(A159,LookupLists!$I$3:$L$60,3,FALSE)</f>
        <v>#N/A</v>
      </c>
      <c r="K159" s="3" t="e">
        <f>VLOOKUP(A159,LookupLists!$I$3:$L$60,4,FALSE)</f>
        <v>#N/A</v>
      </c>
      <c r="L159" s="3" t="e">
        <f>VLOOKUP(C159,LookupLists!$A$3:$G$60,1,FALSE)</f>
        <v>#N/A</v>
      </c>
      <c r="M159" s="3" t="e">
        <f>VLOOKUP(C159,LookupLists!$A$3:$G$60,4,FALSE)</f>
        <v>#N/A</v>
      </c>
      <c r="N159" s="3" t="e">
        <f>VLOOKUP(C159,LookupLists!$A$3:$G$60,2,FALSE)</f>
        <v>#N/A</v>
      </c>
      <c r="O159" s="3" t="e">
        <f>VLOOKUP(C159,LookupLists!$A$3:$G$60,3,FALSE)</f>
        <v>#N/A</v>
      </c>
      <c r="P159" s="3" t="e">
        <f>VLOOKUP(C159,LookupLists!$A$3:$G$60,5,FALSE)</f>
        <v>#N/A</v>
      </c>
      <c r="Q159" s="3" t="e">
        <f>VLOOKUP(C159,LookupLists!$A$3:$G$60,6,FALSE)</f>
        <v>#N/A</v>
      </c>
      <c r="R159" s="4" t="e">
        <f>VLOOKUP(C159,LookupLists!$A$3:$G$60,7,FALSE)</f>
        <v>#N/A</v>
      </c>
      <c r="S159" s="3" t="e">
        <f>VLOOKUP(D159,LookupLists!$N$4:$T$60,1,FALSE)</f>
        <v>#N/A</v>
      </c>
      <c r="T159" s="3" t="e">
        <f>VLOOKUP(D159,LookupLists!$N$4:$T$60,2,FALSE)</f>
        <v>#N/A</v>
      </c>
      <c r="U159" s="3" t="e">
        <f>VLOOKUP(D159,LookupLists!$N$4:$T$60,3,FALSE)</f>
        <v>#N/A</v>
      </c>
      <c r="V159" s="3" t="e">
        <f>VLOOKUP(D159,LookupLists!$N$4:$T$60,5,FALSE)</f>
        <v>#N/A</v>
      </c>
    </row>
    <row r="160" spans="5:22" x14ac:dyDescent="0.3">
      <c r="E160" s="3" t="str">
        <f t="shared" si="2"/>
        <v/>
      </c>
      <c r="F160" s="3" t="str">
        <f xml:space="preserve"> IF(E160="","",  IFERROR(VLOOKUP(D160,LookupLists!$N$3:$T$60,6,FALSE)-LEN(E160),0))</f>
        <v/>
      </c>
      <c r="G160" s="3" t="str">
        <f>IF(E160="","",IFERROR(matches(E160,VLOOKUP(D160,LookupLists!$N$3:$T$60,7,FALSE)),FALSE))</f>
        <v/>
      </c>
      <c r="H160" s="3" t="e">
        <f>VLOOKUP(A160,LookupLists!$I$3:$L$60,1,FALSE)</f>
        <v>#N/A</v>
      </c>
      <c r="I160" s="3" t="e">
        <f>VLOOKUP(A160,LookupLists!$I$3:$L$60,2,FALSE)</f>
        <v>#N/A</v>
      </c>
      <c r="J160" s="3" t="e">
        <f>VLOOKUP(A160,LookupLists!$I$3:$L$60,3,FALSE)</f>
        <v>#N/A</v>
      </c>
      <c r="K160" s="3" t="e">
        <f>VLOOKUP(A160,LookupLists!$I$3:$L$60,4,FALSE)</f>
        <v>#N/A</v>
      </c>
      <c r="L160" s="3" t="e">
        <f>VLOOKUP(C160,LookupLists!$A$3:$G$60,1,FALSE)</f>
        <v>#N/A</v>
      </c>
      <c r="M160" s="3" t="e">
        <f>VLOOKUP(C160,LookupLists!$A$3:$G$60,4,FALSE)</f>
        <v>#N/A</v>
      </c>
      <c r="N160" s="3" t="e">
        <f>VLOOKUP(C160,LookupLists!$A$3:$G$60,2,FALSE)</f>
        <v>#N/A</v>
      </c>
      <c r="O160" s="3" t="e">
        <f>VLOOKUP(C160,LookupLists!$A$3:$G$60,3,FALSE)</f>
        <v>#N/A</v>
      </c>
      <c r="P160" s="3" t="e">
        <f>VLOOKUP(C160,LookupLists!$A$3:$G$60,5,FALSE)</f>
        <v>#N/A</v>
      </c>
      <c r="Q160" s="3" t="e">
        <f>VLOOKUP(C160,LookupLists!$A$3:$G$60,6,FALSE)</f>
        <v>#N/A</v>
      </c>
      <c r="R160" s="4" t="e">
        <f>VLOOKUP(C160,LookupLists!$A$3:$G$60,7,FALSE)</f>
        <v>#N/A</v>
      </c>
      <c r="S160" s="3" t="e">
        <f>VLOOKUP(D160,LookupLists!$N$4:$T$60,1,FALSE)</f>
        <v>#N/A</v>
      </c>
      <c r="T160" s="3" t="e">
        <f>VLOOKUP(D160,LookupLists!$N$4:$T$60,2,FALSE)</f>
        <v>#N/A</v>
      </c>
      <c r="U160" s="3" t="e">
        <f>VLOOKUP(D160,LookupLists!$N$4:$T$60,3,FALSE)</f>
        <v>#N/A</v>
      </c>
      <c r="V160" s="3" t="e">
        <f>VLOOKUP(D160,LookupLists!$N$4:$T$60,5,FALSE)</f>
        <v>#N/A</v>
      </c>
    </row>
    <row r="161" spans="5:22" x14ac:dyDescent="0.3">
      <c r="E161" s="3" t="str">
        <f t="shared" si="2"/>
        <v/>
      </c>
      <c r="F161" s="3" t="str">
        <f xml:space="preserve"> IF(E161="","",  IFERROR(VLOOKUP(D161,LookupLists!$N$3:$T$60,6,FALSE)-LEN(E161),0))</f>
        <v/>
      </c>
      <c r="G161" s="3" t="str">
        <f>IF(E161="","",IFERROR(matches(E161,VLOOKUP(D161,LookupLists!$N$3:$T$60,7,FALSE)),FALSE))</f>
        <v/>
      </c>
      <c r="H161" s="3" t="e">
        <f>VLOOKUP(A161,LookupLists!$I$3:$L$60,1,FALSE)</f>
        <v>#N/A</v>
      </c>
      <c r="I161" s="3" t="e">
        <f>VLOOKUP(A161,LookupLists!$I$3:$L$60,2,FALSE)</f>
        <v>#N/A</v>
      </c>
      <c r="J161" s="3" t="e">
        <f>VLOOKUP(A161,LookupLists!$I$3:$L$60,3,FALSE)</f>
        <v>#N/A</v>
      </c>
      <c r="K161" s="3" t="e">
        <f>VLOOKUP(A161,LookupLists!$I$3:$L$60,4,FALSE)</f>
        <v>#N/A</v>
      </c>
      <c r="L161" s="3" t="e">
        <f>VLOOKUP(C161,LookupLists!$A$3:$G$60,1,FALSE)</f>
        <v>#N/A</v>
      </c>
      <c r="M161" s="3" t="e">
        <f>VLOOKUP(C161,LookupLists!$A$3:$G$60,4,FALSE)</f>
        <v>#N/A</v>
      </c>
      <c r="N161" s="3" t="e">
        <f>VLOOKUP(C161,LookupLists!$A$3:$G$60,2,FALSE)</f>
        <v>#N/A</v>
      </c>
      <c r="O161" s="3" t="e">
        <f>VLOOKUP(C161,LookupLists!$A$3:$G$60,3,FALSE)</f>
        <v>#N/A</v>
      </c>
      <c r="P161" s="3" t="e">
        <f>VLOOKUP(C161,LookupLists!$A$3:$G$60,5,FALSE)</f>
        <v>#N/A</v>
      </c>
      <c r="Q161" s="3" t="e">
        <f>VLOOKUP(C161,LookupLists!$A$3:$G$60,6,FALSE)</f>
        <v>#N/A</v>
      </c>
      <c r="R161" s="4" t="e">
        <f>VLOOKUP(C161,LookupLists!$A$3:$G$60,7,FALSE)</f>
        <v>#N/A</v>
      </c>
      <c r="S161" s="3" t="e">
        <f>VLOOKUP(D161,LookupLists!$N$4:$T$60,1,FALSE)</f>
        <v>#N/A</v>
      </c>
      <c r="T161" s="3" t="e">
        <f>VLOOKUP(D161,LookupLists!$N$4:$T$60,2,FALSE)</f>
        <v>#N/A</v>
      </c>
      <c r="U161" s="3" t="e">
        <f>VLOOKUP(D161,LookupLists!$N$4:$T$60,3,FALSE)</f>
        <v>#N/A</v>
      </c>
      <c r="V161" s="3" t="e">
        <f>VLOOKUP(D161,LookupLists!$N$4:$T$60,5,FALSE)</f>
        <v>#N/A</v>
      </c>
    </row>
    <row r="162" spans="5:22" x14ac:dyDescent="0.3">
      <c r="E162" s="3" t="str">
        <f t="shared" si="2"/>
        <v/>
      </c>
      <c r="F162" s="3" t="str">
        <f xml:space="preserve"> IF(E162="","",  IFERROR(VLOOKUP(D162,LookupLists!$N$3:$T$60,6,FALSE)-LEN(E162),0))</f>
        <v/>
      </c>
      <c r="G162" s="3" t="str">
        <f>IF(E162="","",IFERROR(matches(E162,VLOOKUP(D162,LookupLists!$N$3:$T$60,7,FALSE)),FALSE))</f>
        <v/>
      </c>
      <c r="H162" s="3" t="e">
        <f>VLOOKUP(A162,LookupLists!$I$3:$L$60,1,FALSE)</f>
        <v>#N/A</v>
      </c>
      <c r="I162" s="3" t="e">
        <f>VLOOKUP(A162,LookupLists!$I$3:$L$60,2,FALSE)</f>
        <v>#N/A</v>
      </c>
      <c r="J162" s="3" t="e">
        <f>VLOOKUP(A162,LookupLists!$I$3:$L$60,3,FALSE)</f>
        <v>#N/A</v>
      </c>
      <c r="K162" s="3" t="e">
        <f>VLOOKUP(A162,LookupLists!$I$3:$L$60,4,FALSE)</f>
        <v>#N/A</v>
      </c>
      <c r="L162" s="3" t="e">
        <f>VLOOKUP(C162,LookupLists!$A$3:$G$60,1,FALSE)</f>
        <v>#N/A</v>
      </c>
      <c r="M162" s="3" t="e">
        <f>VLOOKUP(C162,LookupLists!$A$3:$G$60,4,FALSE)</f>
        <v>#N/A</v>
      </c>
      <c r="N162" s="3" t="e">
        <f>VLOOKUP(C162,LookupLists!$A$3:$G$60,2,FALSE)</f>
        <v>#N/A</v>
      </c>
      <c r="O162" s="3" t="e">
        <f>VLOOKUP(C162,LookupLists!$A$3:$G$60,3,FALSE)</f>
        <v>#N/A</v>
      </c>
      <c r="P162" s="3" t="e">
        <f>VLOOKUP(C162,LookupLists!$A$3:$G$60,5,FALSE)</f>
        <v>#N/A</v>
      </c>
      <c r="Q162" s="3" t="e">
        <f>VLOOKUP(C162,LookupLists!$A$3:$G$60,6,FALSE)</f>
        <v>#N/A</v>
      </c>
      <c r="R162" s="4" t="e">
        <f>VLOOKUP(C162,LookupLists!$A$3:$G$60,7,FALSE)</f>
        <v>#N/A</v>
      </c>
      <c r="S162" s="3" t="e">
        <f>VLOOKUP(D162,LookupLists!$N$4:$T$60,1,FALSE)</f>
        <v>#N/A</v>
      </c>
      <c r="T162" s="3" t="e">
        <f>VLOOKUP(D162,LookupLists!$N$4:$T$60,2,FALSE)</f>
        <v>#N/A</v>
      </c>
      <c r="U162" s="3" t="e">
        <f>VLOOKUP(D162,LookupLists!$N$4:$T$60,3,FALSE)</f>
        <v>#N/A</v>
      </c>
      <c r="V162" s="3" t="e">
        <f>VLOOKUP(D162,LookupLists!$N$4:$T$60,5,FALSE)</f>
        <v>#N/A</v>
      </c>
    </row>
    <row r="163" spans="5:22" x14ac:dyDescent="0.3">
      <c r="E163" s="3" t="str">
        <f t="shared" si="2"/>
        <v/>
      </c>
      <c r="F163" s="3" t="str">
        <f xml:space="preserve"> IF(E163="","",  IFERROR(VLOOKUP(D163,LookupLists!$N$3:$T$60,6,FALSE)-LEN(E163),0))</f>
        <v/>
      </c>
      <c r="G163" s="3" t="str">
        <f>IF(E163="","",IFERROR(matches(E163,VLOOKUP(D163,LookupLists!$N$3:$T$60,7,FALSE)),FALSE))</f>
        <v/>
      </c>
      <c r="H163" s="3" t="e">
        <f>VLOOKUP(A163,LookupLists!$I$3:$L$60,1,FALSE)</f>
        <v>#N/A</v>
      </c>
      <c r="I163" s="3" t="e">
        <f>VLOOKUP(A163,LookupLists!$I$3:$L$60,2,FALSE)</f>
        <v>#N/A</v>
      </c>
      <c r="J163" s="3" t="e">
        <f>VLOOKUP(A163,LookupLists!$I$3:$L$60,3,FALSE)</f>
        <v>#N/A</v>
      </c>
      <c r="K163" s="3" t="e">
        <f>VLOOKUP(A163,LookupLists!$I$3:$L$60,4,FALSE)</f>
        <v>#N/A</v>
      </c>
      <c r="L163" s="3" t="e">
        <f>VLOOKUP(C163,LookupLists!$A$3:$G$60,1,FALSE)</f>
        <v>#N/A</v>
      </c>
      <c r="M163" s="3" t="e">
        <f>VLOOKUP(C163,LookupLists!$A$3:$G$60,4,FALSE)</f>
        <v>#N/A</v>
      </c>
      <c r="N163" s="3" t="e">
        <f>VLOOKUP(C163,LookupLists!$A$3:$G$60,2,FALSE)</f>
        <v>#N/A</v>
      </c>
      <c r="O163" s="3" t="e">
        <f>VLOOKUP(C163,LookupLists!$A$3:$G$60,3,FALSE)</f>
        <v>#N/A</v>
      </c>
      <c r="P163" s="3" t="e">
        <f>VLOOKUP(C163,LookupLists!$A$3:$G$60,5,FALSE)</f>
        <v>#N/A</v>
      </c>
      <c r="Q163" s="3" t="e">
        <f>VLOOKUP(C163,LookupLists!$A$3:$G$60,6,FALSE)</f>
        <v>#N/A</v>
      </c>
      <c r="R163" s="4" t="e">
        <f>VLOOKUP(C163,LookupLists!$A$3:$G$60,7,FALSE)</f>
        <v>#N/A</v>
      </c>
      <c r="S163" s="3" t="e">
        <f>VLOOKUP(D163,LookupLists!$N$4:$T$60,1,FALSE)</f>
        <v>#N/A</v>
      </c>
      <c r="T163" s="3" t="e">
        <f>VLOOKUP(D163,LookupLists!$N$4:$T$60,2,FALSE)</f>
        <v>#N/A</v>
      </c>
      <c r="U163" s="3" t="e">
        <f>VLOOKUP(D163,LookupLists!$N$4:$T$60,3,FALSE)</f>
        <v>#N/A</v>
      </c>
      <c r="V163" s="3" t="e">
        <f>VLOOKUP(D163,LookupLists!$N$4:$T$60,5,FALSE)</f>
        <v>#N/A</v>
      </c>
    </row>
    <row r="164" spans="5:22" x14ac:dyDescent="0.3">
      <c r="E164" s="3" t="str">
        <f t="shared" si="2"/>
        <v/>
      </c>
      <c r="F164" s="3" t="str">
        <f xml:space="preserve"> IF(E164="","",  IFERROR(VLOOKUP(D164,LookupLists!$N$3:$T$60,6,FALSE)-LEN(E164),0))</f>
        <v/>
      </c>
      <c r="G164" s="3" t="str">
        <f>IF(E164="","",IFERROR(matches(E164,VLOOKUP(D164,LookupLists!$N$3:$T$60,7,FALSE)),FALSE))</f>
        <v/>
      </c>
      <c r="H164" s="3" t="e">
        <f>VLOOKUP(A164,LookupLists!$I$3:$L$60,1,FALSE)</f>
        <v>#N/A</v>
      </c>
      <c r="I164" s="3" t="e">
        <f>VLOOKUP(A164,LookupLists!$I$3:$L$60,2,FALSE)</f>
        <v>#N/A</v>
      </c>
      <c r="J164" s="3" t="e">
        <f>VLOOKUP(A164,LookupLists!$I$3:$L$60,3,FALSE)</f>
        <v>#N/A</v>
      </c>
      <c r="K164" s="3" t="e">
        <f>VLOOKUP(A164,LookupLists!$I$3:$L$60,4,FALSE)</f>
        <v>#N/A</v>
      </c>
      <c r="L164" s="3" t="e">
        <f>VLOOKUP(C164,LookupLists!$A$3:$G$60,1,FALSE)</f>
        <v>#N/A</v>
      </c>
      <c r="M164" s="3" t="e">
        <f>VLOOKUP(C164,LookupLists!$A$3:$G$60,4,FALSE)</f>
        <v>#N/A</v>
      </c>
      <c r="N164" s="3" t="e">
        <f>VLOOKUP(C164,LookupLists!$A$3:$G$60,2,FALSE)</f>
        <v>#N/A</v>
      </c>
      <c r="O164" s="3" t="e">
        <f>VLOOKUP(C164,LookupLists!$A$3:$G$60,3,FALSE)</f>
        <v>#N/A</v>
      </c>
      <c r="P164" s="3" t="e">
        <f>VLOOKUP(C164,LookupLists!$A$3:$G$60,5,FALSE)</f>
        <v>#N/A</v>
      </c>
      <c r="Q164" s="3" t="e">
        <f>VLOOKUP(C164,LookupLists!$A$3:$G$60,6,FALSE)</f>
        <v>#N/A</v>
      </c>
      <c r="R164" s="4" t="e">
        <f>VLOOKUP(C164,LookupLists!$A$3:$G$60,7,FALSE)</f>
        <v>#N/A</v>
      </c>
      <c r="S164" s="3" t="e">
        <f>VLOOKUP(D164,LookupLists!$N$4:$T$60,1,FALSE)</f>
        <v>#N/A</v>
      </c>
      <c r="T164" s="3" t="e">
        <f>VLOOKUP(D164,LookupLists!$N$4:$T$60,2,FALSE)</f>
        <v>#N/A</v>
      </c>
      <c r="U164" s="3" t="e">
        <f>VLOOKUP(D164,LookupLists!$N$4:$T$60,3,FALSE)</f>
        <v>#N/A</v>
      </c>
      <c r="V164" s="3" t="e">
        <f>VLOOKUP(D164,LookupLists!$N$4:$T$60,5,FALSE)</f>
        <v>#N/A</v>
      </c>
    </row>
    <row r="165" spans="5:22" x14ac:dyDescent="0.3">
      <c r="E165" s="3" t="str">
        <f t="shared" si="2"/>
        <v/>
      </c>
      <c r="F165" s="3" t="str">
        <f xml:space="preserve"> IF(E165="","",  IFERROR(VLOOKUP(D165,LookupLists!$N$3:$T$60,6,FALSE)-LEN(E165),0))</f>
        <v/>
      </c>
      <c r="G165" s="3" t="str">
        <f>IF(E165="","",IFERROR(matches(E165,VLOOKUP(D165,LookupLists!$N$3:$T$60,7,FALSE)),FALSE))</f>
        <v/>
      </c>
      <c r="H165" s="3" t="e">
        <f>VLOOKUP(A165,LookupLists!$I$3:$L$60,1,FALSE)</f>
        <v>#N/A</v>
      </c>
      <c r="I165" s="3" t="e">
        <f>VLOOKUP(A165,LookupLists!$I$3:$L$60,2,FALSE)</f>
        <v>#N/A</v>
      </c>
      <c r="J165" s="3" t="e">
        <f>VLOOKUP(A165,LookupLists!$I$3:$L$60,3,FALSE)</f>
        <v>#N/A</v>
      </c>
      <c r="K165" s="3" t="e">
        <f>VLOOKUP(A165,LookupLists!$I$3:$L$60,4,FALSE)</f>
        <v>#N/A</v>
      </c>
      <c r="L165" s="3" t="e">
        <f>VLOOKUP(C165,LookupLists!$A$3:$G$60,1,FALSE)</f>
        <v>#N/A</v>
      </c>
      <c r="M165" s="3" t="e">
        <f>VLOOKUP(C165,LookupLists!$A$3:$G$60,4,FALSE)</f>
        <v>#N/A</v>
      </c>
      <c r="N165" s="3" t="e">
        <f>VLOOKUP(C165,LookupLists!$A$3:$G$60,2,FALSE)</f>
        <v>#N/A</v>
      </c>
      <c r="O165" s="3" t="e">
        <f>VLOOKUP(C165,LookupLists!$A$3:$G$60,3,FALSE)</f>
        <v>#N/A</v>
      </c>
      <c r="P165" s="3" t="e">
        <f>VLOOKUP(C165,LookupLists!$A$3:$G$60,5,FALSE)</f>
        <v>#N/A</v>
      </c>
      <c r="Q165" s="3" t="e">
        <f>VLOOKUP(C165,LookupLists!$A$3:$G$60,6,FALSE)</f>
        <v>#N/A</v>
      </c>
      <c r="R165" s="4" t="e">
        <f>VLOOKUP(C165,LookupLists!$A$3:$G$60,7,FALSE)</f>
        <v>#N/A</v>
      </c>
      <c r="S165" s="3" t="e">
        <f>VLOOKUP(D165,LookupLists!$N$4:$T$60,1,FALSE)</f>
        <v>#N/A</v>
      </c>
      <c r="T165" s="3" t="e">
        <f>VLOOKUP(D165,LookupLists!$N$4:$T$60,2,FALSE)</f>
        <v>#N/A</v>
      </c>
      <c r="U165" s="3" t="e">
        <f>VLOOKUP(D165,LookupLists!$N$4:$T$60,3,FALSE)</f>
        <v>#N/A</v>
      </c>
      <c r="V165" s="3" t="e">
        <f>VLOOKUP(D165,LookupLists!$N$4:$T$60,5,FALSE)</f>
        <v>#N/A</v>
      </c>
    </row>
    <row r="166" spans="5:22" x14ac:dyDescent="0.3">
      <c r="E166" s="3" t="str">
        <f t="shared" si="2"/>
        <v/>
      </c>
      <c r="F166" s="3" t="str">
        <f xml:space="preserve"> IF(E166="","",  IFERROR(VLOOKUP(D166,LookupLists!$N$3:$T$60,6,FALSE)-LEN(E166),0))</f>
        <v/>
      </c>
      <c r="G166" s="3" t="str">
        <f>IF(E166="","",IFERROR(matches(E166,VLOOKUP(D166,LookupLists!$N$3:$T$60,7,FALSE)),FALSE))</f>
        <v/>
      </c>
      <c r="H166" s="3" t="e">
        <f>VLOOKUP(A166,LookupLists!$I$3:$L$60,1,FALSE)</f>
        <v>#N/A</v>
      </c>
      <c r="I166" s="3" t="e">
        <f>VLOOKUP(A166,LookupLists!$I$3:$L$60,2,FALSE)</f>
        <v>#N/A</v>
      </c>
      <c r="J166" s="3" t="e">
        <f>VLOOKUP(A166,LookupLists!$I$3:$L$60,3,FALSE)</f>
        <v>#N/A</v>
      </c>
      <c r="K166" s="3" t="e">
        <f>VLOOKUP(A166,LookupLists!$I$3:$L$60,4,FALSE)</f>
        <v>#N/A</v>
      </c>
      <c r="L166" s="3" t="e">
        <f>VLOOKUP(C166,LookupLists!$A$3:$G$60,1,FALSE)</f>
        <v>#N/A</v>
      </c>
      <c r="M166" s="3" t="e">
        <f>VLOOKUP(C166,LookupLists!$A$3:$G$60,4,FALSE)</f>
        <v>#N/A</v>
      </c>
      <c r="N166" s="3" t="e">
        <f>VLOOKUP(C166,LookupLists!$A$3:$G$60,2,FALSE)</f>
        <v>#N/A</v>
      </c>
      <c r="O166" s="3" t="e">
        <f>VLOOKUP(C166,LookupLists!$A$3:$G$60,3,FALSE)</f>
        <v>#N/A</v>
      </c>
      <c r="P166" s="3" t="e">
        <f>VLOOKUP(C166,LookupLists!$A$3:$G$60,5,FALSE)</f>
        <v>#N/A</v>
      </c>
      <c r="Q166" s="3" t="e">
        <f>VLOOKUP(C166,LookupLists!$A$3:$G$60,6,FALSE)</f>
        <v>#N/A</v>
      </c>
      <c r="R166" s="4" t="e">
        <f>VLOOKUP(C166,LookupLists!$A$3:$G$60,7,FALSE)</f>
        <v>#N/A</v>
      </c>
      <c r="S166" s="3" t="e">
        <f>VLOOKUP(D166,LookupLists!$N$4:$T$60,1,FALSE)</f>
        <v>#N/A</v>
      </c>
      <c r="T166" s="3" t="e">
        <f>VLOOKUP(D166,LookupLists!$N$4:$T$60,2,FALSE)</f>
        <v>#N/A</v>
      </c>
      <c r="U166" s="3" t="e">
        <f>VLOOKUP(D166,LookupLists!$N$4:$T$60,3,FALSE)</f>
        <v>#N/A</v>
      </c>
      <c r="V166" s="3" t="e">
        <f>VLOOKUP(D166,LookupLists!$N$4:$T$60,5,FALSE)</f>
        <v>#N/A</v>
      </c>
    </row>
    <row r="167" spans="5:22" x14ac:dyDescent="0.3">
      <c r="E167" s="3" t="str">
        <f t="shared" si="2"/>
        <v/>
      </c>
      <c r="F167" s="3" t="str">
        <f xml:space="preserve"> IF(E167="","",  IFERROR(VLOOKUP(D167,LookupLists!$N$3:$T$60,6,FALSE)-LEN(E167),0))</f>
        <v/>
      </c>
      <c r="G167" s="3" t="str">
        <f>IF(E167="","",IFERROR(matches(E167,VLOOKUP(D167,LookupLists!$N$3:$T$60,7,FALSE)),FALSE))</f>
        <v/>
      </c>
      <c r="H167" s="3" t="e">
        <f>VLOOKUP(A167,LookupLists!$I$3:$L$60,1,FALSE)</f>
        <v>#N/A</v>
      </c>
      <c r="I167" s="3" t="e">
        <f>VLOOKUP(A167,LookupLists!$I$3:$L$60,2,FALSE)</f>
        <v>#N/A</v>
      </c>
      <c r="J167" s="3" t="e">
        <f>VLOOKUP(A167,LookupLists!$I$3:$L$60,3,FALSE)</f>
        <v>#N/A</v>
      </c>
      <c r="K167" s="3" t="e">
        <f>VLOOKUP(A167,LookupLists!$I$3:$L$60,4,FALSE)</f>
        <v>#N/A</v>
      </c>
      <c r="L167" s="3" t="e">
        <f>VLOOKUP(C167,LookupLists!$A$3:$G$60,1,FALSE)</f>
        <v>#N/A</v>
      </c>
      <c r="M167" s="3" t="e">
        <f>VLOOKUP(C167,LookupLists!$A$3:$G$60,4,FALSE)</f>
        <v>#N/A</v>
      </c>
      <c r="N167" s="3" t="e">
        <f>VLOOKUP(C167,LookupLists!$A$3:$G$60,2,FALSE)</f>
        <v>#N/A</v>
      </c>
      <c r="O167" s="3" t="e">
        <f>VLOOKUP(C167,LookupLists!$A$3:$G$60,3,FALSE)</f>
        <v>#N/A</v>
      </c>
      <c r="P167" s="3" t="e">
        <f>VLOOKUP(C167,LookupLists!$A$3:$G$60,5,FALSE)</f>
        <v>#N/A</v>
      </c>
      <c r="Q167" s="3" t="e">
        <f>VLOOKUP(C167,LookupLists!$A$3:$G$60,6,FALSE)</f>
        <v>#N/A</v>
      </c>
      <c r="R167" s="4" t="e">
        <f>VLOOKUP(C167,LookupLists!$A$3:$G$60,7,FALSE)</f>
        <v>#N/A</v>
      </c>
      <c r="S167" s="3" t="e">
        <f>VLOOKUP(D167,LookupLists!$N$4:$T$60,1,FALSE)</f>
        <v>#N/A</v>
      </c>
      <c r="T167" s="3" t="e">
        <f>VLOOKUP(D167,LookupLists!$N$4:$T$60,2,FALSE)</f>
        <v>#N/A</v>
      </c>
      <c r="U167" s="3" t="e">
        <f>VLOOKUP(D167,LookupLists!$N$4:$T$60,3,FALSE)</f>
        <v>#N/A</v>
      </c>
      <c r="V167" s="3" t="e">
        <f>VLOOKUP(D167,LookupLists!$N$4:$T$60,5,FALSE)</f>
        <v>#N/A</v>
      </c>
    </row>
    <row r="168" spans="5:22" x14ac:dyDescent="0.3">
      <c r="E168" s="3" t="str">
        <f t="shared" si="2"/>
        <v/>
      </c>
      <c r="F168" s="3" t="str">
        <f xml:space="preserve"> IF(E168="","",  IFERROR(VLOOKUP(D168,LookupLists!$N$3:$T$60,6,FALSE)-LEN(E168),0))</f>
        <v/>
      </c>
      <c r="G168" s="3" t="str">
        <f>IF(E168="","",IFERROR(matches(E168,VLOOKUP(D168,LookupLists!$N$3:$T$60,7,FALSE)),FALSE))</f>
        <v/>
      </c>
      <c r="H168" s="3" t="e">
        <f>VLOOKUP(A168,LookupLists!$I$3:$L$60,1,FALSE)</f>
        <v>#N/A</v>
      </c>
      <c r="I168" s="3" t="e">
        <f>VLOOKUP(A168,LookupLists!$I$3:$L$60,2,FALSE)</f>
        <v>#N/A</v>
      </c>
      <c r="J168" s="3" t="e">
        <f>VLOOKUP(A168,LookupLists!$I$3:$L$60,3,FALSE)</f>
        <v>#N/A</v>
      </c>
      <c r="K168" s="3" t="e">
        <f>VLOOKUP(A168,LookupLists!$I$3:$L$60,4,FALSE)</f>
        <v>#N/A</v>
      </c>
      <c r="L168" s="3" t="e">
        <f>VLOOKUP(C168,LookupLists!$A$3:$G$60,1,FALSE)</f>
        <v>#N/A</v>
      </c>
      <c r="M168" s="3" t="e">
        <f>VLOOKUP(C168,LookupLists!$A$3:$G$60,4,FALSE)</f>
        <v>#N/A</v>
      </c>
      <c r="N168" s="3" t="e">
        <f>VLOOKUP(C168,LookupLists!$A$3:$G$60,2,FALSE)</f>
        <v>#N/A</v>
      </c>
      <c r="O168" s="3" t="e">
        <f>VLOOKUP(C168,LookupLists!$A$3:$G$60,3,FALSE)</f>
        <v>#N/A</v>
      </c>
      <c r="P168" s="3" t="e">
        <f>VLOOKUP(C168,LookupLists!$A$3:$G$60,5,FALSE)</f>
        <v>#N/A</v>
      </c>
      <c r="Q168" s="3" t="e">
        <f>VLOOKUP(C168,LookupLists!$A$3:$G$60,6,FALSE)</f>
        <v>#N/A</v>
      </c>
      <c r="R168" s="4" t="e">
        <f>VLOOKUP(C168,LookupLists!$A$3:$G$60,7,FALSE)</f>
        <v>#N/A</v>
      </c>
      <c r="S168" s="3" t="e">
        <f>VLOOKUP(D168,LookupLists!$N$4:$T$60,1,FALSE)</f>
        <v>#N/A</v>
      </c>
      <c r="T168" s="3" t="e">
        <f>VLOOKUP(D168,LookupLists!$N$4:$T$60,2,FALSE)</f>
        <v>#N/A</v>
      </c>
      <c r="U168" s="3" t="e">
        <f>VLOOKUP(D168,LookupLists!$N$4:$T$60,3,FALSE)</f>
        <v>#N/A</v>
      </c>
      <c r="V168" s="3" t="e">
        <f>VLOOKUP(D168,LookupLists!$N$4:$T$60,5,FALSE)</f>
        <v>#N/A</v>
      </c>
    </row>
    <row r="169" spans="5:22" x14ac:dyDescent="0.3">
      <c r="E169" s="3" t="str">
        <f t="shared" si="2"/>
        <v/>
      </c>
      <c r="F169" s="3" t="str">
        <f xml:space="preserve"> IF(E169="","",  IFERROR(VLOOKUP(D169,LookupLists!$N$3:$T$60,6,FALSE)-LEN(E169),0))</f>
        <v/>
      </c>
      <c r="G169" s="3" t="str">
        <f>IF(E169="","",IFERROR(matches(E169,VLOOKUP(D169,LookupLists!$N$3:$T$60,7,FALSE)),FALSE))</f>
        <v/>
      </c>
      <c r="H169" s="3" t="e">
        <f>VLOOKUP(A169,LookupLists!$I$3:$L$60,1,FALSE)</f>
        <v>#N/A</v>
      </c>
      <c r="I169" s="3" t="e">
        <f>VLOOKUP(A169,LookupLists!$I$3:$L$60,2,FALSE)</f>
        <v>#N/A</v>
      </c>
      <c r="J169" s="3" t="e">
        <f>VLOOKUP(A169,LookupLists!$I$3:$L$60,3,FALSE)</f>
        <v>#N/A</v>
      </c>
      <c r="K169" s="3" t="e">
        <f>VLOOKUP(A169,LookupLists!$I$3:$L$60,4,FALSE)</f>
        <v>#N/A</v>
      </c>
      <c r="L169" s="3" t="e">
        <f>VLOOKUP(C169,LookupLists!$A$3:$G$60,1,FALSE)</f>
        <v>#N/A</v>
      </c>
      <c r="M169" s="3" t="e">
        <f>VLOOKUP(C169,LookupLists!$A$3:$G$60,4,FALSE)</f>
        <v>#N/A</v>
      </c>
      <c r="N169" s="3" t="e">
        <f>VLOOKUP(C169,LookupLists!$A$3:$G$60,2,FALSE)</f>
        <v>#N/A</v>
      </c>
      <c r="O169" s="3" t="e">
        <f>VLOOKUP(C169,LookupLists!$A$3:$G$60,3,FALSE)</f>
        <v>#N/A</v>
      </c>
      <c r="P169" s="3" t="e">
        <f>VLOOKUP(C169,LookupLists!$A$3:$G$60,5,FALSE)</f>
        <v>#N/A</v>
      </c>
      <c r="Q169" s="3" t="e">
        <f>VLOOKUP(C169,LookupLists!$A$3:$G$60,6,FALSE)</f>
        <v>#N/A</v>
      </c>
      <c r="R169" s="4" t="e">
        <f>VLOOKUP(C169,LookupLists!$A$3:$G$60,7,FALSE)</f>
        <v>#N/A</v>
      </c>
      <c r="S169" s="3" t="e">
        <f>VLOOKUP(D169,LookupLists!$N$4:$T$60,1,FALSE)</f>
        <v>#N/A</v>
      </c>
      <c r="T169" s="3" t="e">
        <f>VLOOKUP(D169,LookupLists!$N$4:$T$60,2,FALSE)</f>
        <v>#N/A</v>
      </c>
      <c r="U169" s="3" t="e">
        <f>VLOOKUP(D169,LookupLists!$N$4:$T$60,3,FALSE)</f>
        <v>#N/A</v>
      </c>
      <c r="V169" s="3" t="e">
        <f>VLOOKUP(D169,LookupLists!$N$4:$T$60,5,FALSE)</f>
        <v>#N/A</v>
      </c>
    </row>
    <row r="170" spans="5:22" x14ac:dyDescent="0.3">
      <c r="E170" s="3" t="str">
        <f t="shared" si="2"/>
        <v/>
      </c>
      <c r="F170" s="3" t="str">
        <f xml:space="preserve"> IF(E170="","",  IFERROR(VLOOKUP(D170,LookupLists!$N$3:$T$60,6,FALSE)-LEN(E170),0))</f>
        <v/>
      </c>
      <c r="G170" s="3" t="str">
        <f>IF(E170="","",IFERROR(matches(E170,VLOOKUP(D170,LookupLists!$N$3:$T$60,7,FALSE)),FALSE))</f>
        <v/>
      </c>
      <c r="H170" s="3" t="e">
        <f>VLOOKUP(A170,LookupLists!$I$3:$L$60,1,FALSE)</f>
        <v>#N/A</v>
      </c>
      <c r="I170" s="3" t="e">
        <f>VLOOKUP(A170,LookupLists!$I$3:$L$60,2,FALSE)</f>
        <v>#N/A</v>
      </c>
      <c r="J170" s="3" t="e">
        <f>VLOOKUP(A170,LookupLists!$I$3:$L$60,3,FALSE)</f>
        <v>#N/A</v>
      </c>
      <c r="K170" s="3" t="e">
        <f>VLOOKUP(A170,LookupLists!$I$3:$L$60,4,FALSE)</f>
        <v>#N/A</v>
      </c>
      <c r="L170" s="3" t="e">
        <f>VLOOKUP(C170,LookupLists!$A$3:$G$60,1,FALSE)</f>
        <v>#N/A</v>
      </c>
      <c r="M170" s="3" t="e">
        <f>VLOOKUP(C170,LookupLists!$A$3:$G$60,4,FALSE)</f>
        <v>#N/A</v>
      </c>
      <c r="N170" s="3" t="e">
        <f>VLOOKUP(C170,LookupLists!$A$3:$G$60,2,FALSE)</f>
        <v>#N/A</v>
      </c>
      <c r="O170" s="3" t="e">
        <f>VLOOKUP(C170,LookupLists!$A$3:$G$60,3,FALSE)</f>
        <v>#N/A</v>
      </c>
      <c r="P170" s="3" t="e">
        <f>VLOOKUP(C170,LookupLists!$A$3:$G$60,5,FALSE)</f>
        <v>#N/A</v>
      </c>
      <c r="Q170" s="3" t="e">
        <f>VLOOKUP(C170,LookupLists!$A$3:$G$60,6,FALSE)</f>
        <v>#N/A</v>
      </c>
      <c r="R170" s="4" t="e">
        <f>VLOOKUP(C170,LookupLists!$A$3:$G$60,7,FALSE)</f>
        <v>#N/A</v>
      </c>
      <c r="S170" s="3" t="e">
        <f>VLOOKUP(D170,LookupLists!$N$4:$T$60,1,FALSE)</f>
        <v>#N/A</v>
      </c>
      <c r="T170" s="3" t="e">
        <f>VLOOKUP(D170,LookupLists!$N$4:$T$60,2,FALSE)</f>
        <v>#N/A</v>
      </c>
      <c r="U170" s="3" t="e">
        <f>VLOOKUP(D170,LookupLists!$N$4:$T$60,3,FALSE)</f>
        <v>#N/A</v>
      </c>
      <c r="V170" s="3" t="e">
        <f>VLOOKUP(D170,LookupLists!$N$4:$T$60,5,FALSE)</f>
        <v>#N/A</v>
      </c>
    </row>
    <row r="171" spans="5:22" x14ac:dyDescent="0.3">
      <c r="E171" s="3" t="str">
        <f t="shared" si="2"/>
        <v/>
      </c>
      <c r="F171" s="3" t="str">
        <f xml:space="preserve"> IF(E171="","",  IFERROR(VLOOKUP(D171,LookupLists!$N$3:$T$60,6,FALSE)-LEN(E171),0))</f>
        <v/>
      </c>
      <c r="G171" s="3" t="str">
        <f>IF(E171="","",IFERROR(matches(E171,VLOOKUP(D171,LookupLists!$N$3:$T$60,7,FALSE)),FALSE))</f>
        <v/>
      </c>
      <c r="H171" s="3" t="e">
        <f>VLOOKUP(A171,LookupLists!$I$3:$L$60,1,FALSE)</f>
        <v>#N/A</v>
      </c>
      <c r="I171" s="3" t="e">
        <f>VLOOKUP(A171,LookupLists!$I$3:$L$60,2,FALSE)</f>
        <v>#N/A</v>
      </c>
      <c r="J171" s="3" t="e">
        <f>VLOOKUP(A171,LookupLists!$I$3:$L$60,3,FALSE)</f>
        <v>#N/A</v>
      </c>
      <c r="K171" s="3" t="e">
        <f>VLOOKUP(A171,LookupLists!$I$3:$L$60,4,FALSE)</f>
        <v>#N/A</v>
      </c>
      <c r="L171" s="3" t="e">
        <f>VLOOKUP(C171,LookupLists!$A$3:$G$60,1,FALSE)</f>
        <v>#N/A</v>
      </c>
      <c r="M171" s="3" t="e">
        <f>VLOOKUP(C171,LookupLists!$A$3:$G$60,4,FALSE)</f>
        <v>#N/A</v>
      </c>
      <c r="N171" s="3" t="e">
        <f>VLOOKUP(C171,LookupLists!$A$3:$G$60,2,FALSE)</f>
        <v>#N/A</v>
      </c>
      <c r="O171" s="3" t="e">
        <f>VLOOKUP(C171,LookupLists!$A$3:$G$60,3,FALSE)</f>
        <v>#N/A</v>
      </c>
      <c r="P171" s="3" t="e">
        <f>VLOOKUP(C171,LookupLists!$A$3:$G$60,5,FALSE)</f>
        <v>#N/A</v>
      </c>
      <c r="Q171" s="3" t="e">
        <f>VLOOKUP(C171,LookupLists!$A$3:$G$60,6,FALSE)</f>
        <v>#N/A</v>
      </c>
      <c r="R171" s="4" t="e">
        <f>VLOOKUP(C171,LookupLists!$A$3:$G$60,7,FALSE)</f>
        <v>#N/A</v>
      </c>
      <c r="S171" s="3" t="e">
        <f>VLOOKUP(D171,LookupLists!$N$4:$T$60,1,FALSE)</f>
        <v>#N/A</v>
      </c>
      <c r="T171" s="3" t="e">
        <f>VLOOKUP(D171,LookupLists!$N$4:$T$60,2,FALSE)</f>
        <v>#N/A</v>
      </c>
      <c r="U171" s="3" t="e">
        <f>VLOOKUP(D171,LookupLists!$N$4:$T$60,3,FALSE)</f>
        <v>#N/A</v>
      </c>
      <c r="V171" s="3" t="e">
        <f>VLOOKUP(D171,LookupLists!$N$4:$T$60,5,FALSE)</f>
        <v>#N/A</v>
      </c>
    </row>
    <row r="172" spans="5:22" x14ac:dyDescent="0.3">
      <c r="E172" s="3" t="str">
        <f t="shared" si="2"/>
        <v/>
      </c>
      <c r="F172" s="3" t="str">
        <f xml:space="preserve"> IF(E172="","",  IFERROR(VLOOKUP(D172,LookupLists!$N$3:$T$60,6,FALSE)-LEN(E172),0))</f>
        <v/>
      </c>
      <c r="G172" s="3" t="str">
        <f>IF(E172="","",IFERROR(matches(E172,VLOOKUP(D172,LookupLists!$N$3:$T$60,7,FALSE)),FALSE))</f>
        <v/>
      </c>
      <c r="H172" s="3" t="e">
        <f>VLOOKUP(A172,LookupLists!$I$3:$L$60,1,FALSE)</f>
        <v>#N/A</v>
      </c>
      <c r="I172" s="3" t="e">
        <f>VLOOKUP(A172,LookupLists!$I$3:$L$60,2,FALSE)</f>
        <v>#N/A</v>
      </c>
      <c r="J172" s="3" t="e">
        <f>VLOOKUP(A172,LookupLists!$I$3:$L$60,3,FALSE)</f>
        <v>#N/A</v>
      </c>
      <c r="K172" s="3" t="e">
        <f>VLOOKUP(A172,LookupLists!$I$3:$L$60,4,FALSE)</f>
        <v>#N/A</v>
      </c>
      <c r="L172" s="3" t="e">
        <f>VLOOKUP(C172,LookupLists!$A$3:$G$60,1,FALSE)</f>
        <v>#N/A</v>
      </c>
      <c r="M172" s="3" t="e">
        <f>VLOOKUP(C172,LookupLists!$A$3:$G$60,4,FALSE)</f>
        <v>#N/A</v>
      </c>
      <c r="N172" s="3" t="e">
        <f>VLOOKUP(C172,LookupLists!$A$3:$G$60,2,FALSE)</f>
        <v>#N/A</v>
      </c>
      <c r="O172" s="3" t="e">
        <f>VLOOKUP(C172,LookupLists!$A$3:$G$60,3,FALSE)</f>
        <v>#N/A</v>
      </c>
      <c r="P172" s="3" t="e">
        <f>VLOOKUP(C172,LookupLists!$A$3:$G$60,5,FALSE)</f>
        <v>#N/A</v>
      </c>
      <c r="Q172" s="3" t="e">
        <f>VLOOKUP(C172,LookupLists!$A$3:$G$60,6,FALSE)</f>
        <v>#N/A</v>
      </c>
      <c r="R172" s="4" t="e">
        <f>VLOOKUP(C172,LookupLists!$A$3:$G$60,7,FALSE)</f>
        <v>#N/A</v>
      </c>
      <c r="S172" s="3" t="e">
        <f>VLOOKUP(D172,LookupLists!$N$4:$T$60,1,FALSE)</f>
        <v>#N/A</v>
      </c>
      <c r="T172" s="3" t="e">
        <f>VLOOKUP(D172,LookupLists!$N$4:$T$60,2,FALSE)</f>
        <v>#N/A</v>
      </c>
      <c r="U172" s="3" t="e">
        <f>VLOOKUP(D172,LookupLists!$N$4:$T$60,3,FALSE)</f>
        <v>#N/A</v>
      </c>
      <c r="V172" s="3" t="e">
        <f>VLOOKUP(D172,LookupLists!$N$4:$T$60,5,FALSE)</f>
        <v>#N/A</v>
      </c>
    </row>
    <row r="173" spans="5:22" x14ac:dyDescent="0.3">
      <c r="E173" s="3" t="str">
        <f t="shared" si="2"/>
        <v/>
      </c>
      <c r="F173" s="3" t="str">
        <f xml:space="preserve"> IF(E173="","",  IFERROR(VLOOKUP(D173,LookupLists!$N$3:$T$60,6,FALSE)-LEN(E173),0))</f>
        <v/>
      </c>
      <c r="G173" s="3" t="str">
        <f>IF(E173="","",IFERROR(matches(E173,VLOOKUP(D173,LookupLists!$N$3:$T$60,7,FALSE)),FALSE))</f>
        <v/>
      </c>
      <c r="H173" s="3" t="e">
        <f>VLOOKUP(A173,LookupLists!$I$3:$L$60,1,FALSE)</f>
        <v>#N/A</v>
      </c>
      <c r="I173" s="3" t="e">
        <f>VLOOKUP(A173,LookupLists!$I$3:$L$60,2,FALSE)</f>
        <v>#N/A</v>
      </c>
      <c r="J173" s="3" t="e">
        <f>VLOOKUP(A173,LookupLists!$I$3:$L$60,3,FALSE)</f>
        <v>#N/A</v>
      </c>
      <c r="K173" s="3" t="e">
        <f>VLOOKUP(A173,LookupLists!$I$3:$L$60,4,FALSE)</f>
        <v>#N/A</v>
      </c>
      <c r="L173" s="3" t="e">
        <f>VLOOKUP(C173,LookupLists!$A$3:$G$60,1,FALSE)</f>
        <v>#N/A</v>
      </c>
      <c r="M173" s="3" t="e">
        <f>VLOOKUP(C173,LookupLists!$A$3:$G$60,4,FALSE)</f>
        <v>#N/A</v>
      </c>
      <c r="N173" s="3" t="e">
        <f>VLOOKUP(C173,LookupLists!$A$3:$G$60,2,FALSE)</f>
        <v>#N/A</v>
      </c>
      <c r="O173" s="3" t="e">
        <f>VLOOKUP(C173,LookupLists!$A$3:$G$60,3,FALSE)</f>
        <v>#N/A</v>
      </c>
      <c r="P173" s="3" t="e">
        <f>VLOOKUP(C173,LookupLists!$A$3:$G$60,5,FALSE)</f>
        <v>#N/A</v>
      </c>
      <c r="Q173" s="3" t="e">
        <f>VLOOKUP(C173,LookupLists!$A$3:$G$60,6,FALSE)</f>
        <v>#N/A</v>
      </c>
      <c r="R173" s="4" t="e">
        <f>VLOOKUP(C173,LookupLists!$A$3:$G$60,7,FALSE)</f>
        <v>#N/A</v>
      </c>
      <c r="S173" s="3" t="e">
        <f>VLOOKUP(D173,LookupLists!$N$4:$T$60,1,FALSE)</f>
        <v>#N/A</v>
      </c>
      <c r="T173" s="3" t="e">
        <f>VLOOKUP(D173,LookupLists!$N$4:$T$60,2,FALSE)</f>
        <v>#N/A</v>
      </c>
      <c r="U173" s="3" t="e">
        <f>VLOOKUP(D173,LookupLists!$N$4:$T$60,3,FALSE)</f>
        <v>#N/A</v>
      </c>
      <c r="V173" s="3" t="e">
        <f>VLOOKUP(D173,LookupLists!$N$4:$T$60,5,FALSE)</f>
        <v>#N/A</v>
      </c>
    </row>
    <row r="174" spans="5:22" x14ac:dyDescent="0.3">
      <c r="E174" s="3" t="str">
        <f t="shared" si="2"/>
        <v/>
      </c>
      <c r="F174" s="3" t="str">
        <f xml:space="preserve"> IF(E174="","",  IFERROR(VLOOKUP(D174,LookupLists!$N$3:$T$60,6,FALSE)-LEN(E174),0))</f>
        <v/>
      </c>
      <c r="G174" s="3" t="str">
        <f>IF(E174="","",IFERROR(matches(E174,VLOOKUP(D174,LookupLists!$N$3:$T$60,7,FALSE)),FALSE))</f>
        <v/>
      </c>
      <c r="H174" s="3" t="e">
        <f>VLOOKUP(A174,LookupLists!$I$3:$L$60,1,FALSE)</f>
        <v>#N/A</v>
      </c>
      <c r="I174" s="3" t="e">
        <f>VLOOKUP(A174,LookupLists!$I$3:$L$60,2,FALSE)</f>
        <v>#N/A</v>
      </c>
      <c r="J174" s="3" t="e">
        <f>VLOOKUP(A174,LookupLists!$I$3:$L$60,3,FALSE)</f>
        <v>#N/A</v>
      </c>
      <c r="K174" s="3" t="e">
        <f>VLOOKUP(A174,LookupLists!$I$3:$L$60,4,FALSE)</f>
        <v>#N/A</v>
      </c>
      <c r="L174" s="3" t="e">
        <f>VLOOKUP(C174,LookupLists!$A$3:$G$60,1,FALSE)</f>
        <v>#N/A</v>
      </c>
      <c r="M174" s="3" t="e">
        <f>VLOOKUP(C174,LookupLists!$A$3:$G$60,4,FALSE)</f>
        <v>#N/A</v>
      </c>
      <c r="N174" s="3" t="e">
        <f>VLOOKUP(C174,LookupLists!$A$3:$G$60,2,FALSE)</f>
        <v>#N/A</v>
      </c>
      <c r="O174" s="3" t="e">
        <f>VLOOKUP(C174,LookupLists!$A$3:$G$60,3,FALSE)</f>
        <v>#N/A</v>
      </c>
      <c r="P174" s="3" t="e">
        <f>VLOOKUP(C174,LookupLists!$A$3:$G$60,5,FALSE)</f>
        <v>#N/A</v>
      </c>
      <c r="Q174" s="3" t="e">
        <f>VLOOKUP(C174,LookupLists!$A$3:$G$60,6,FALSE)</f>
        <v>#N/A</v>
      </c>
      <c r="R174" s="4" t="e">
        <f>VLOOKUP(C174,LookupLists!$A$3:$G$60,7,FALSE)</f>
        <v>#N/A</v>
      </c>
      <c r="S174" s="3" t="e">
        <f>VLOOKUP(D174,LookupLists!$N$4:$T$60,1,FALSE)</f>
        <v>#N/A</v>
      </c>
      <c r="T174" s="3" t="e">
        <f>VLOOKUP(D174,LookupLists!$N$4:$T$60,2,FALSE)</f>
        <v>#N/A</v>
      </c>
      <c r="U174" s="3" t="e">
        <f>VLOOKUP(D174,LookupLists!$N$4:$T$60,3,FALSE)</f>
        <v>#N/A</v>
      </c>
      <c r="V174" s="3" t="e">
        <f>VLOOKUP(D174,LookupLists!$N$4:$T$60,5,FALSE)</f>
        <v>#N/A</v>
      </c>
    </row>
    <row r="175" spans="5:22" x14ac:dyDescent="0.3">
      <c r="E175" s="3" t="str">
        <f t="shared" si="2"/>
        <v/>
      </c>
      <c r="F175" s="3" t="str">
        <f xml:space="preserve"> IF(E175="","",  IFERROR(VLOOKUP(D175,LookupLists!$N$3:$T$60,6,FALSE)-LEN(E175),0))</f>
        <v/>
      </c>
      <c r="G175" s="3" t="str">
        <f>IF(E175="","",IFERROR(matches(E175,VLOOKUP(D175,LookupLists!$N$3:$T$60,7,FALSE)),FALSE))</f>
        <v/>
      </c>
      <c r="H175" s="3" t="e">
        <f>VLOOKUP(A175,LookupLists!$I$3:$L$60,1,FALSE)</f>
        <v>#N/A</v>
      </c>
      <c r="I175" s="3" t="e">
        <f>VLOOKUP(A175,LookupLists!$I$3:$L$60,2,FALSE)</f>
        <v>#N/A</v>
      </c>
      <c r="J175" s="3" t="e">
        <f>VLOOKUP(A175,LookupLists!$I$3:$L$60,3,FALSE)</f>
        <v>#N/A</v>
      </c>
      <c r="K175" s="3" t="e">
        <f>VLOOKUP(A175,LookupLists!$I$3:$L$60,4,FALSE)</f>
        <v>#N/A</v>
      </c>
      <c r="L175" s="3" t="e">
        <f>VLOOKUP(C175,LookupLists!$A$3:$G$60,1,FALSE)</f>
        <v>#N/A</v>
      </c>
      <c r="M175" s="3" t="e">
        <f>VLOOKUP(C175,LookupLists!$A$3:$G$60,4,FALSE)</f>
        <v>#N/A</v>
      </c>
      <c r="N175" s="3" t="e">
        <f>VLOOKUP(C175,LookupLists!$A$3:$G$60,2,FALSE)</f>
        <v>#N/A</v>
      </c>
      <c r="O175" s="3" t="e">
        <f>VLOOKUP(C175,LookupLists!$A$3:$G$60,3,FALSE)</f>
        <v>#N/A</v>
      </c>
      <c r="P175" s="3" t="e">
        <f>VLOOKUP(C175,LookupLists!$A$3:$G$60,5,FALSE)</f>
        <v>#N/A</v>
      </c>
      <c r="Q175" s="3" t="e">
        <f>VLOOKUP(C175,LookupLists!$A$3:$G$60,6,FALSE)</f>
        <v>#N/A</v>
      </c>
      <c r="R175" s="4" t="e">
        <f>VLOOKUP(C175,LookupLists!$A$3:$G$60,7,FALSE)</f>
        <v>#N/A</v>
      </c>
      <c r="S175" s="3" t="e">
        <f>VLOOKUP(D175,LookupLists!$N$4:$T$60,1,FALSE)</f>
        <v>#N/A</v>
      </c>
      <c r="T175" s="3" t="e">
        <f>VLOOKUP(D175,LookupLists!$N$4:$T$60,2,FALSE)</f>
        <v>#N/A</v>
      </c>
      <c r="U175" s="3" t="e">
        <f>VLOOKUP(D175,LookupLists!$N$4:$T$60,3,FALSE)</f>
        <v>#N/A</v>
      </c>
      <c r="V175" s="3" t="e">
        <f>VLOOKUP(D175,LookupLists!$N$4:$T$60,5,FALSE)</f>
        <v>#N/A</v>
      </c>
    </row>
    <row r="176" spans="5:22" x14ac:dyDescent="0.3">
      <c r="E176" s="3" t="str">
        <f t="shared" si="2"/>
        <v/>
      </c>
      <c r="F176" s="3" t="str">
        <f xml:space="preserve"> IF(E176="","",  IFERROR(VLOOKUP(D176,LookupLists!$N$3:$T$60,6,FALSE)-LEN(E176),0))</f>
        <v/>
      </c>
      <c r="G176" s="3" t="str">
        <f>IF(E176="","",IFERROR(matches(E176,VLOOKUP(D176,LookupLists!$N$3:$T$60,7,FALSE)),FALSE))</f>
        <v/>
      </c>
      <c r="H176" s="3" t="e">
        <f>VLOOKUP(A176,LookupLists!$I$3:$L$60,1,FALSE)</f>
        <v>#N/A</v>
      </c>
      <c r="I176" s="3" t="e">
        <f>VLOOKUP(A176,LookupLists!$I$3:$L$60,2,FALSE)</f>
        <v>#N/A</v>
      </c>
      <c r="J176" s="3" t="e">
        <f>VLOOKUP(A176,LookupLists!$I$3:$L$60,3,FALSE)</f>
        <v>#N/A</v>
      </c>
      <c r="K176" s="3" t="e">
        <f>VLOOKUP(A176,LookupLists!$I$3:$L$60,4,FALSE)</f>
        <v>#N/A</v>
      </c>
      <c r="L176" s="3" t="e">
        <f>VLOOKUP(C176,LookupLists!$A$3:$G$60,1,FALSE)</f>
        <v>#N/A</v>
      </c>
      <c r="M176" s="3" t="e">
        <f>VLOOKUP(C176,LookupLists!$A$3:$G$60,4,FALSE)</f>
        <v>#N/A</v>
      </c>
      <c r="N176" s="3" t="e">
        <f>VLOOKUP(C176,LookupLists!$A$3:$G$60,2,FALSE)</f>
        <v>#N/A</v>
      </c>
      <c r="O176" s="3" t="e">
        <f>VLOOKUP(C176,LookupLists!$A$3:$G$60,3,FALSE)</f>
        <v>#N/A</v>
      </c>
      <c r="P176" s="3" t="e">
        <f>VLOOKUP(C176,LookupLists!$A$3:$G$60,5,FALSE)</f>
        <v>#N/A</v>
      </c>
      <c r="Q176" s="3" t="e">
        <f>VLOOKUP(C176,LookupLists!$A$3:$G$60,6,FALSE)</f>
        <v>#N/A</v>
      </c>
      <c r="R176" s="4" t="e">
        <f>VLOOKUP(C176,LookupLists!$A$3:$G$60,7,FALSE)</f>
        <v>#N/A</v>
      </c>
      <c r="S176" s="3" t="e">
        <f>VLOOKUP(D176,LookupLists!$N$4:$T$60,1,FALSE)</f>
        <v>#N/A</v>
      </c>
      <c r="T176" s="3" t="e">
        <f>VLOOKUP(D176,LookupLists!$N$4:$T$60,2,FALSE)</f>
        <v>#N/A</v>
      </c>
      <c r="U176" s="3" t="e">
        <f>VLOOKUP(D176,LookupLists!$N$4:$T$60,3,FALSE)</f>
        <v>#N/A</v>
      </c>
      <c r="V176" s="3" t="e">
        <f>VLOOKUP(D176,LookupLists!$N$4:$T$60,5,FALSE)</f>
        <v>#N/A</v>
      </c>
    </row>
    <row r="177" spans="5:22" x14ac:dyDescent="0.3">
      <c r="E177" s="3" t="str">
        <f t="shared" si="2"/>
        <v/>
      </c>
      <c r="F177" s="3" t="str">
        <f xml:space="preserve"> IF(E177="","",  IFERROR(VLOOKUP(D177,LookupLists!$N$3:$T$60,6,FALSE)-LEN(E177),0))</f>
        <v/>
      </c>
      <c r="G177" s="3" t="str">
        <f>IF(E177="","",IFERROR(matches(E177,VLOOKUP(D177,LookupLists!$N$3:$T$60,7,FALSE)),FALSE))</f>
        <v/>
      </c>
      <c r="H177" s="3" t="e">
        <f>VLOOKUP(A177,LookupLists!$I$3:$L$60,1,FALSE)</f>
        <v>#N/A</v>
      </c>
      <c r="I177" s="3" t="e">
        <f>VLOOKUP(A177,LookupLists!$I$3:$L$60,2,FALSE)</f>
        <v>#N/A</v>
      </c>
      <c r="J177" s="3" t="e">
        <f>VLOOKUP(A177,LookupLists!$I$3:$L$60,3,FALSE)</f>
        <v>#N/A</v>
      </c>
      <c r="K177" s="3" t="e">
        <f>VLOOKUP(A177,LookupLists!$I$3:$L$60,4,FALSE)</f>
        <v>#N/A</v>
      </c>
      <c r="L177" s="3" t="e">
        <f>VLOOKUP(C177,LookupLists!$A$3:$G$60,1,FALSE)</f>
        <v>#N/A</v>
      </c>
      <c r="M177" s="3" t="e">
        <f>VLOOKUP(C177,LookupLists!$A$3:$G$60,4,FALSE)</f>
        <v>#N/A</v>
      </c>
      <c r="N177" s="3" t="e">
        <f>VLOOKUP(C177,LookupLists!$A$3:$G$60,2,FALSE)</f>
        <v>#N/A</v>
      </c>
      <c r="O177" s="3" t="e">
        <f>VLOOKUP(C177,LookupLists!$A$3:$G$60,3,FALSE)</f>
        <v>#N/A</v>
      </c>
      <c r="P177" s="3" t="e">
        <f>VLOOKUP(C177,LookupLists!$A$3:$G$60,5,FALSE)</f>
        <v>#N/A</v>
      </c>
      <c r="Q177" s="3" t="e">
        <f>VLOOKUP(C177,LookupLists!$A$3:$G$60,6,FALSE)</f>
        <v>#N/A</v>
      </c>
      <c r="R177" s="4" t="e">
        <f>VLOOKUP(C177,LookupLists!$A$3:$G$60,7,FALSE)</f>
        <v>#N/A</v>
      </c>
      <c r="S177" s="3" t="e">
        <f>VLOOKUP(D177,LookupLists!$N$4:$T$60,1,FALSE)</f>
        <v>#N/A</v>
      </c>
      <c r="T177" s="3" t="e">
        <f>VLOOKUP(D177,LookupLists!$N$4:$T$60,2,FALSE)</f>
        <v>#N/A</v>
      </c>
      <c r="U177" s="3" t="e">
        <f>VLOOKUP(D177,LookupLists!$N$4:$T$60,3,FALSE)</f>
        <v>#N/A</v>
      </c>
      <c r="V177" s="3" t="e">
        <f>VLOOKUP(D177,LookupLists!$N$4:$T$60,5,FALSE)</f>
        <v>#N/A</v>
      </c>
    </row>
    <row r="178" spans="5:22" x14ac:dyDescent="0.3">
      <c r="E178" s="3" t="str">
        <f t="shared" si="2"/>
        <v/>
      </c>
      <c r="F178" s="3" t="str">
        <f xml:space="preserve"> IF(E178="","",  IFERROR(VLOOKUP(D178,LookupLists!$N$3:$T$60,6,FALSE)-LEN(E178),0))</f>
        <v/>
      </c>
      <c r="G178" s="3" t="str">
        <f>IF(E178="","",IFERROR(matches(E178,VLOOKUP(D178,LookupLists!$N$3:$T$60,7,FALSE)),FALSE))</f>
        <v/>
      </c>
      <c r="H178" s="3" t="e">
        <f>VLOOKUP(A178,LookupLists!$I$3:$L$60,1,FALSE)</f>
        <v>#N/A</v>
      </c>
      <c r="I178" s="3" t="e">
        <f>VLOOKUP(A178,LookupLists!$I$3:$L$60,2,FALSE)</f>
        <v>#N/A</v>
      </c>
      <c r="J178" s="3" t="e">
        <f>VLOOKUP(A178,LookupLists!$I$3:$L$60,3,FALSE)</f>
        <v>#N/A</v>
      </c>
      <c r="K178" s="3" t="e">
        <f>VLOOKUP(A178,LookupLists!$I$3:$L$60,4,FALSE)</f>
        <v>#N/A</v>
      </c>
      <c r="L178" s="3" t="e">
        <f>VLOOKUP(C178,LookupLists!$A$3:$G$60,1,FALSE)</f>
        <v>#N/A</v>
      </c>
      <c r="M178" s="3" t="e">
        <f>VLOOKUP(C178,LookupLists!$A$3:$G$60,4,FALSE)</f>
        <v>#N/A</v>
      </c>
      <c r="N178" s="3" t="e">
        <f>VLOOKUP(C178,LookupLists!$A$3:$G$60,2,FALSE)</f>
        <v>#N/A</v>
      </c>
      <c r="O178" s="3" t="e">
        <f>VLOOKUP(C178,LookupLists!$A$3:$G$60,3,FALSE)</f>
        <v>#N/A</v>
      </c>
      <c r="P178" s="3" t="e">
        <f>VLOOKUP(C178,LookupLists!$A$3:$G$60,5,FALSE)</f>
        <v>#N/A</v>
      </c>
      <c r="Q178" s="3" t="e">
        <f>VLOOKUP(C178,LookupLists!$A$3:$G$60,6,FALSE)</f>
        <v>#N/A</v>
      </c>
      <c r="R178" s="4" t="e">
        <f>VLOOKUP(C178,LookupLists!$A$3:$G$60,7,FALSE)</f>
        <v>#N/A</v>
      </c>
      <c r="S178" s="3" t="e">
        <f>VLOOKUP(D178,LookupLists!$N$4:$T$60,1,FALSE)</f>
        <v>#N/A</v>
      </c>
      <c r="T178" s="3" t="e">
        <f>VLOOKUP(D178,LookupLists!$N$4:$T$60,2,FALSE)</f>
        <v>#N/A</v>
      </c>
      <c r="U178" s="3" t="e">
        <f>VLOOKUP(D178,LookupLists!$N$4:$T$60,3,FALSE)</f>
        <v>#N/A</v>
      </c>
      <c r="V178" s="3" t="e">
        <f>VLOOKUP(D178,LookupLists!$N$4:$T$60,5,FALSE)</f>
        <v>#N/A</v>
      </c>
    </row>
    <row r="179" spans="5:22" x14ac:dyDescent="0.3">
      <c r="E179" s="3" t="str">
        <f t="shared" si="2"/>
        <v/>
      </c>
      <c r="F179" s="3" t="str">
        <f xml:space="preserve"> IF(E179="","",  IFERROR(VLOOKUP(D179,LookupLists!$N$3:$T$60,6,FALSE)-LEN(E179),0))</f>
        <v/>
      </c>
      <c r="G179" s="3" t="str">
        <f>IF(E179="","",IFERROR(matches(E179,VLOOKUP(D179,LookupLists!$N$3:$T$60,7,FALSE)),FALSE))</f>
        <v/>
      </c>
      <c r="H179" s="3" t="e">
        <f>VLOOKUP(A179,LookupLists!$I$3:$L$60,1,FALSE)</f>
        <v>#N/A</v>
      </c>
      <c r="I179" s="3" t="e">
        <f>VLOOKUP(A179,LookupLists!$I$3:$L$60,2,FALSE)</f>
        <v>#N/A</v>
      </c>
      <c r="J179" s="3" t="e">
        <f>VLOOKUP(A179,LookupLists!$I$3:$L$60,3,FALSE)</f>
        <v>#N/A</v>
      </c>
      <c r="K179" s="3" t="e">
        <f>VLOOKUP(A179,LookupLists!$I$3:$L$60,4,FALSE)</f>
        <v>#N/A</v>
      </c>
      <c r="L179" s="3" t="e">
        <f>VLOOKUP(C179,LookupLists!$A$3:$G$60,1,FALSE)</f>
        <v>#N/A</v>
      </c>
      <c r="M179" s="3" t="e">
        <f>VLOOKUP(C179,LookupLists!$A$3:$G$60,4,FALSE)</f>
        <v>#N/A</v>
      </c>
      <c r="N179" s="3" t="e">
        <f>VLOOKUP(C179,LookupLists!$A$3:$G$60,2,FALSE)</f>
        <v>#N/A</v>
      </c>
      <c r="O179" s="3" t="e">
        <f>VLOOKUP(C179,LookupLists!$A$3:$G$60,3,FALSE)</f>
        <v>#N/A</v>
      </c>
      <c r="P179" s="3" t="e">
        <f>VLOOKUP(C179,LookupLists!$A$3:$G$60,5,FALSE)</f>
        <v>#N/A</v>
      </c>
      <c r="Q179" s="3" t="e">
        <f>VLOOKUP(C179,LookupLists!$A$3:$G$60,6,FALSE)</f>
        <v>#N/A</v>
      </c>
      <c r="R179" s="4" t="e">
        <f>VLOOKUP(C179,LookupLists!$A$3:$G$60,7,FALSE)</f>
        <v>#N/A</v>
      </c>
      <c r="S179" s="3" t="e">
        <f>VLOOKUP(D179,LookupLists!$N$4:$T$60,1,FALSE)</f>
        <v>#N/A</v>
      </c>
      <c r="T179" s="3" t="e">
        <f>VLOOKUP(D179,LookupLists!$N$4:$T$60,2,FALSE)</f>
        <v>#N/A</v>
      </c>
      <c r="U179" s="3" t="e">
        <f>VLOOKUP(D179,LookupLists!$N$4:$T$60,3,FALSE)</f>
        <v>#N/A</v>
      </c>
      <c r="V179" s="3" t="e">
        <f>VLOOKUP(D179,LookupLists!$N$4:$T$60,5,FALSE)</f>
        <v>#N/A</v>
      </c>
    </row>
    <row r="180" spans="5:22" x14ac:dyDescent="0.3">
      <c r="E180" s="3" t="str">
        <f t="shared" si="2"/>
        <v/>
      </c>
      <c r="F180" s="3" t="str">
        <f xml:space="preserve"> IF(E180="","",  IFERROR(VLOOKUP(D180,LookupLists!$N$3:$T$60,6,FALSE)-LEN(E180),0))</f>
        <v/>
      </c>
      <c r="G180" s="3" t="str">
        <f>IF(E180="","",IFERROR(matches(E180,VLOOKUP(D180,LookupLists!$N$3:$T$60,7,FALSE)),FALSE))</f>
        <v/>
      </c>
      <c r="H180" s="3" t="e">
        <f>VLOOKUP(A180,LookupLists!$I$3:$L$60,1,FALSE)</f>
        <v>#N/A</v>
      </c>
      <c r="I180" s="3" t="e">
        <f>VLOOKUP(A180,LookupLists!$I$3:$L$60,2,FALSE)</f>
        <v>#N/A</v>
      </c>
      <c r="J180" s="3" t="e">
        <f>VLOOKUP(A180,LookupLists!$I$3:$L$60,3,FALSE)</f>
        <v>#N/A</v>
      </c>
      <c r="K180" s="3" t="e">
        <f>VLOOKUP(A180,LookupLists!$I$3:$L$60,4,FALSE)</f>
        <v>#N/A</v>
      </c>
      <c r="L180" s="3" t="e">
        <f>VLOOKUP(C180,LookupLists!$A$3:$G$60,1,FALSE)</f>
        <v>#N/A</v>
      </c>
      <c r="M180" s="3" t="e">
        <f>VLOOKUP(C180,LookupLists!$A$3:$G$60,4,FALSE)</f>
        <v>#N/A</v>
      </c>
      <c r="N180" s="3" t="e">
        <f>VLOOKUP(C180,LookupLists!$A$3:$G$60,2,FALSE)</f>
        <v>#N/A</v>
      </c>
      <c r="O180" s="3" t="e">
        <f>VLOOKUP(C180,LookupLists!$A$3:$G$60,3,FALSE)</f>
        <v>#N/A</v>
      </c>
      <c r="P180" s="3" t="e">
        <f>VLOOKUP(C180,LookupLists!$A$3:$G$60,5,FALSE)</f>
        <v>#N/A</v>
      </c>
      <c r="Q180" s="3" t="e">
        <f>VLOOKUP(C180,LookupLists!$A$3:$G$60,6,FALSE)</f>
        <v>#N/A</v>
      </c>
      <c r="R180" s="4" t="e">
        <f>VLOOKUP(C180,LookupLists!$A$3:$G$60,7,FALSE)</f>
        <v>#N/A</v>
      </c>
      <c r="S180" s="3" t="e">
        <f>VLOOKUP(D180,LookupLists!$N$4:$T$60,1,FALSE)</f>
        <v>#N/A</v>
      </c>
      <c r="T180" s="3" t="e">
        <f>VLOOKUP(D180,LookupLists!$N$4:$T$60,2,FALSE)</f>
        <v>#N/A</v>
      </c>
      <c r="U180" s="3" t="e">
        <f>VLOOKUP(D180,LookupLists!$N$4:$T$60,3,FALSE)</f>
        <v>#N/A</v>
      </c>
      <c r="V180" s="3" t="e">
        <f>VLOOKUP(D180,LookupLists!$N$4:$T$60,5,FALSE)</f>
        <v>#N/A</v>
      </c>
    </row>
    <row r="181" spans="5:22" x14ac:dyDescent="0.3">
      <c r="E181" s="3" t="str">
        <f t="shared" si="2"/>
        <v/>
      </c>
      <c r="F181" s="3" t="str">
        <f xml:space="preserve"> IF(E181="","",  IFERROR(VLOOKUP(D181,LookupLists!$N$3:$T$60,6,FALSE)-LEN(E181),0))</f>
        <v/>
      </c>
      <c r="G181" s="3" t="str">
        <f>IF(E181="","",IFERROR(matches(E181,VLOOKUP(D181,LookupLists!$N$3:$T$60,7,FALSE)),FALSE))</f>
        <v/>
      </c>
      <c r="H181" s="3" t="e">
        <f>VLOOKUP(A181,LookupLists!$I$3:$L$60,1,FALSE)</f>
        <v>#N/A</v>
      </c>
      <c r="I181" s="3" t="e">
        <f>VLOOKUP(A181,LookupLists!$I$3:$L$60,2,FALSE)</f>
        <v>#N/A</v>
      </c>
      <c r="J181" s="3" t="e">
        <f>VLOOKUP(A181,LookupLists!$I$3:$L$60,3,FALSE)</f>
        <v>#N/A</v>
      </c>
      <c r="K181" s="3" t="e">
        <f>VLOOKUP(A181,LookupLists!$I$3:$L$60,4,FALSE)</f>
        <v>#N/A</v>
      </c>
      <c r="L181" s="3" t="e">
        <f>VLOOKUP(C181,LookupLists!$A$3:$G$60,1,FALSE)</f>
        <v>#N/A</v>
      </c>
      <c r="M181" s="3" t="e">
        <f>VLOOKUP(C181,LookupLists!$A$3:$G$60,4,FALSE)</f>
        <v>#N/A</v>
      </c>
      <c r="N181" s="3" t="e">
        <f>VLOOKUP(C181,LookupLists!$A$3:$G$60,2,FALSE)</f>
        <v>#N/A</v>
      </c>
      <c r="O181" s="3" t="e">
        <f>VLOOKUP(C181,LookupLists!$A$3:$G$60,3,FALSE)</f>
        <v>#N/A</v>
      </c>
      <c r="P181" s="3" t="e">
        <f>VLOOKUP(C181,LookupLists!$A$3:$G$60,5,FALSE)</f>
        <v>#N/A</v>
      </c>
      <c r="Q181" s="3" t="e">
        <f>VLOOKUP(C181,LookupLists!$A$3:$G$60,6,FALSE)</f>
        <v>#N/A</v>
      </c>
      <c r="R181" s="4" t="e">
        <f>VLOOKUP(C181,LookupLists!$A$3:$G$60,7,FALSE)</f>
        <v>#N/A</v>
      </c>
      <c r="S181" s="3" t="e">
        <f>VLOOKUP(D181,LookupLists!$N$4:$T$60,1,FALSE)</f>
        <v>#N/A</v>
      </c>
      <c r="T181" s="3" t="e">
        <f>VLOOKUP(D181,LookupLists!$N$4:$T$60,2,FALSE)</f>
        <v>#N/A</v>
      </c>
      <c r="U181" s="3" t="e">
        <f>VLOOKUP(D181,LookupLists!$N$4:$T$60,3,FALSE)</f>
        <v>#N/A</v>
      </c>
      <c r="V181" s="3" t="e">
        <f>VLOOKUP(D181,LookupLists!$N$4:$T$60,5,FALSE)</f>
        <v>#N/A</v>
      </c>
    </row>
    <row r="182" spans="5:22" x14ac:dyDescent="0.3">
      <c r="E182" s="3" t="str">
        <f t="shared" si="2"/>
        <v/>
      </c>
      <c r="F182" s="3" t="str">
        <f xml:space="preserve"> IF(E182="","",  IFERROR(VLOOKUP(D182,LookupLists!$N$3:$T$60,6,FALSE)-LEN(E182),0))</f>
        <v/>
      </c>
      <c r="G182" s="3" t="str">
        <f>IF(E182="","",IFERROR(matches(E182,VLOOKUP(D182,LookupLists!$N$3:$T$60,7,FALSE)),FALSE))</f>
        <v/>
      </c>
      <c r="H182" s="3" t="e">
        <f>VLOOKUP(A182,LookupLists!$I$3:$L$60,1,FALSE)</f>
        <v>#N/A</v>
      </c>
      <c r="I182" s="3" t="e">
        <f>VLOOKUP(A182,LookupLists!$I$3:$L$60,2,FALSE)</f>
        <v>#N/A</v>
      </c>
      <c r="J182" s="3" t="e">
        <f>VLOOKUP(A182,LookupLists!$I$3:$L$60,3,FALSE)</f>
        <v>#N/A</v>
      </c>
      <c r="K182" s="3" t="e">
        <f>VLOOKUP(A182,LookupLists!$I$3:$L$60,4,FALSE)</f>
        <v>#N/A</v>
      </c>
      <c r="L182" s="3" t="e">
        <f>VLOOKUP(C182,LookupLists!$A$3:$G$60,1,FALSE)</f>
        <v>#N/A</v>
      </c>
      <c r="M182" s="3" t="e">
        <f>VLOOKUP(C182,LookupLists!$A$3:$G$60,4,FALSE)</f>
        <v>#N/A</v>
      </c>
      <c r="N182" s="3" t="e">
        <f>VLOOKUP(C182,LookupLists!$A$3:$G$60,2,FALSE)</f>
        <v>#N/A</v>
      </c>
      <c r="O182" s="3" t="e">
        <f>VLOOKUP(C182,LookupLists!$A$3:$G$60,3,FALSE)</f>
        <v>#N/A</v>
      </c>
      <c r="P182" s="3" t="e">
        <f>VLOOKUP(C182,LookupLists!$A$3:$G$60,5,FALSE)</f>
        <v>#N/A</v>
      </c>
      <c r="Q182" s="3" t="e">
        <f>VLOOKUP(C182,LookupLists!$A$3:$G$60,6,FALSE)</f>
        <v>#N/A</v>
      </c>
      <c r="R182" s="4" t="e">
        <f>VLOOKUP(C182,LookupLists!$A$3:$G$60,7,FALSE)</f>
        <v>#N/A</v>
      </c>
      <c r="S182" s="3" t="e">
        <f>VLOOKUP(D182,LookupLists!$N$4:$T$60,1,FALSE)</f>
        <v>#N/A</v>
      </c>
      <c r="T182" s="3" t="e">
        <f>VLOOKUP(D182,LookupLists!$N$4:$T$60,2,FALSE)</f>
        <v>#N/A</v>
      </c>
      <c r="U182" s="3" t="e">
        <f>VLOOKUP(D182,LookupLists!$N$4:$T$60,3,FALSE)</f>
        <v>#N/A</v>
      </c>
      <c r="V182" s="3" t="e">
        <f>VLOOKUP(D182,LookupLists!$N$4:$T$60,5,FALSE)</f>
        <v>#N/A</v>
      </c>
    </row>
    <row r="183" spans="5:22" x14ac:dyDescent="0.3">
      <c r="E183" s="3" t="str">
        <f t="shared" si="2"/>
        <v/>
      </c>
      <c r="F183" s="3" t="str">
        <f xml:space="preserve"> IF(E183="","",  IFERROR(VLOOKUP(D183,LookupLists!$N$3:$T$60,6,FALSE)-LEN(E183),0))</f>
        <v/>
      </c>
      <c r="G183" s="3" t="str">
        <f>IF(E183="","",IFERROR(matches(E183,VLOOKUP(D183,LookupLists!$N$3:$T$60,7,FALSE)),FALSE))</f>
        <v/>
      </c>
      <c r="H183" s="3" t="e">
        <f>VLOOKUP(A183,LookupLists!$I$3:$L$60,1,FALSE)</f>
        <v>#N/A</v>
      </c>
      <c r="I183" s="3" t="e">
        <f>VLOOKUP(A183,LookupLists!$I$3:$L$60,2,FALSE)</f>
        <v>#N/A</v>
      </c>
      <c r="J183" s="3" t="e">
        <f>VLOOKUP(A183,LookupLists!$I$3:$L$60,3,FALSE)</f>
        <v>#N/A</v>
      </c>
      <c r="K183" s="3" t="e">
        <f>VLOOKUP(A183,LookupLists!$I$3:$L$60,4,FALSE)</f>
        <v>#N/A</v>
      </c>
      <c r="L183" s="3" t="e">
        <f>VLOOKUP(C183,LookupLists!$A$3:$G$60,1,FALSE)</f>
        <v>#N/A</v>
      </c>
      <c r="M183" s="3" t="e">
        <f>VLOOKUP(C183,LookupLists!$A$3:$G$60,4,FALSE)</f>
        <v>#N/A</v>
      </c>
      <c r="N183" s="3" t="e">
        <f>VLOOKUP(C183,LookupLists!$A$3:$G$60,2,FALSE)</f>
        <v>#N/A</v>
      </c>
      <c r="O183" s="3" t="e">
        <f>VLOOKUP(C183,LookupLists!$A$3:$G$60,3,FALSE)</f>
        <v>#N/A</v>
      </c>
      <c r="P183" s="3" t="e">
        <f>VLOOKUP(C183,LookupLists!$A$3:$G$60,5,FALSE)</f>
        <v>#N/A</v>
      </c>
      <c r="Q183" s="3" t="e">
        <f>VLOOKUP(C183,LookupLists!$A$3:$G$60,6,FALSE)</f>
        <v>#N/A</v>
      </c>
      <c r="R183" s="4" t="e">
        <f>VLOOKUP(C183,LookupLists!$A$3:$G$60,7,FALSE)</f>
        <v>#N/A</v>
      </c>
      <c r="S183" s="3" t="e">
        <f>VLOOKUP(D183,LookupLists!$N$4:$T$60,1,FALSE)</f>
        <v>#N/A</v>
      </c>
      <c r="T183" s="3" t="e">
        <f>VLOOKUP(D183,LookupLists!$N$4:$T$60,2,FALSE)</f>
        <v>#N/A</v>
      </c>
      <c r="U183" s="3" t="e">
        <f>VLOOKUP(D183,LookupLists!$N$4:$T$60,3,FALSE)</f>
        <v>#N/A</v>
      </c>
      <c r="V183" s="3" t="e">
        <f>VLOOKUP(D183,LookupLists!$N$4:$T$60,5,FALSE)</f>
        <v>#N/A</v>
      </c>
    </row>
    <row r="184" spans="5:22" x14ac:dyDescent="0.3">
      <c r="E184" s="3" t="str">
        <f t="shared" si="2"/>
        <v/>
      </c>
      <c r="F184" s="3" t="str">
        <f xml:space="preserve"> IF(E184="","",  IFERROR(VLOOKUP(D184,LookupLists!$N$3:$T$60,6,FALSE)-LEN(E184),0))</f>
        <v/>
      </c>
      <c r="G184" s="3" t="str">
        <f>IF(E184="","",IFERROR(matches(E184,VLOOKUP(D184,LookupLists!$N$3:$T$60,7,FALSE)),FALSE))</f>
        <v/>
      </c>
      <c r="H184" s="3" t="e">
        <f>VLOOKUP(A184,LookupLists!$I$3:$L$60,1,FALSE)</f>
        <v>#N/A</v>
      </c>
      <c r="I184" s="3" t="e">
        <f>VLOOKUP(A184,LookupLists!$I$3:$L$60,2,FALSE)</f>
        <v>#N/A</v>
      </c>
      <c r="J184" s="3" t="e">
        <f>VLOOKUP(A184,LookupLists!$I$3:$L$60,3,FALSE)</f>
        <v>#N/A</v>
      </c>
      <c r="K184" s="3" t="e">
        <f>VLOOKUP(A184,LookupLists!$I$3:$L$60,4,FALSE)</f>
        <v>#N/A</v>
      </c>
      <c r="L184" s="3" t="e">
        <f>VLOOKUP(C184,LookupLists!$A$3:$G$60,1,FALSE)</f>
        <v>#N/A</v>
      </c>
      <c r="M184" s="3" t="e">
        <f>VLOOKUP(C184,LookupLists!$A$3:$G$60,4,FALSE)</f>
        <v>#N/A</v>
      </c>
      <c r="N184" s="3" t="e">
        <f>VLOOKUP(C184,LookupLists!$A$3:$G$60,2,FALSE)</f>
        <v>#N/A</v>
      </c>
      <c r="O184" s="3" t="e">
        <f>VLOOKUP(C184,LookupLists!$A$3:$G$60,3,FALSE)</f>
        <v>#N/A</v>
      </c>
      <c r="P184" s="3" t="e">
        <f>VLOOKUP(C184,LookupLists!$A$3:$G$60,5,FALSE)</f>
        <v>#N/A</v>
      </c>
      <c r="Q184" s="3" t="e">
        <f>VLOOKUP(C184,LookupLists!$A$3:$G$60,6,FALSE)</f>
        <v>#N/A</v>
      </c>
      <c r="R184" s="4" t="e">
        <f>VLOOKUP(C184,LookupLists!$A$3:$G$60,7,FALSE)</f>
        <v>#N/A</v>
      </c>
      <c r="S184" s="3" t="e">
        <f>VLOOKUP(D184,LookupLists!$N$4:$T$60,1,FALSE)</f>
        <v>#N/A</v>
      </c>
      <c r="T184" s="3" t="e">
        <f>VLOOKUP(D184,LookupLists!$N$4:$T$60,2,FALSE)</f>
        <v>#N/A</v>
      </c>
      <c r="U184" s="3" t="e">
        <f>VLOOKUP(D184,LookupLists!$N$4:$T$60,3,FALSE)</f>
        <v>#N/A</v>
      </c>
      <c r="V184" s="3" t="e">
        <f>VLOOKUP(D184,LookupLists!$N$4:$T$60,5,FALSE)</f>
        <v>#N/A</v>
      </c>
    </row>
    <row r="185" spans="5:22" x14ac:dyDescent="0.3">
      <c r="E185" s="3" t="str">
        <f t="shared" si="2"/>
        <v/>
      </c>
      <c r="F185" s="3" t="str">
        <f xml:space="preserve"> IF(E185="","",  IFERROR(VLOOKUP(D185,LookupLists!$N$3:$T$60,6,FALSE)-LEN(E185),0))</f>
        <v/>
      </c>
      <c r="G185" s="3" t="str">
        <f>IF(E185="","",IFERROR(matches(E185,VLOOKUP(D185,LookupLists!$N$3:$T$60,7,FALSE)),FALSE))</f>
        <v/>
      </c>
      <c r="H185" s="3" t="e">
        <f>VLOOKUP(A185,LookupLists!$I$3:$L$60,1,FALSE)</f>
        <v>#N/A</v>
      </c>
      <c r="I185" s="3" t="e">
        <f>VLOOKUP(A185,LookupLists!$I$3:$L$60,2,FALSE)</f>
        <v>#N/A</v>
      </c>
      <c r="J185" s="3" t="e">
        <f>VLOOKUP(A185,LookupLists!$I$3:$L$60,3,FALSE)</f>
        <v>#N/A</v>
      </c>
      <c r="K185" s="3" t="e">
        <f>VLOOKUP(A185,LookupLists!$I$3:$L$60,4,FALSE)</f>
        <v>#N/A</v>
      </c>
      <c r="L185" s="3" t="e">
        <f>VLOOKUP(C185,LookupLists!$A$3:$G$60,1,FALSE)</f>
        <v>#N/A</v>
      </c>
      <c r="M185" s="3" t="e">
        <f>VLOOKUP(C185,LookupLists!$A$3:$G$60,4,FALSE)</f>
        <v>#N/A</v>
      </c>
      <c r="N185" s="3" t="e">
        <f>VLOOKUP(C185,LookupLists!$A$3:$G$60,2,FALSE)</f>
        <v>#N/A</v>
      </c>
      <c r="O185" s="3" t="e">
        <f>VLOOKUP(C185,LookupLists!$A$3:$G$60,3,FALSE)</f>
        <v>#N/A</v>
      </c>
      <c r="P185" s="3" t="e">
        <f>VLOOKUP(C185,LookupLists!$A$3:$G$60,5,FALSE)</f>
        <v>#N/A</v>
      </c>
      <c r="Q185" s="3" t="e">
        <f>VLOOKUP(C185,LookupLists!$A$3:$G$60,6,FALSE)</f>
        <v>#N/A</v>
      </c>
      <c r="R185" s="4" t="e">
        <f>VLOOKUP(C185,LookupLists!$A$3:$G$60,7,FALSE)</f>
        <v>#N/A</v>
      </c>
      <c r="S185" s="3" t="e">
        <f>VLOOKUP(D185,LookupLists!$N$4:$T$60,1,FALSE)</f>
        <v>#N/A</v>
      </c>
      <c r="T185" s="3" t="e">
        <f>VLOOKUP(D185,LookupLists!$N$4:$T$60,2,FALSE)</f>
        <v>#N/A</v>
      </c>
      <c r="U185" s="3" t="e">
        <f>VLOOKUP(D185,LookupLists!$N$4:$T$60,3,FALSE)</f>
        <v>#N/A</v>
      </c>
      <c r="V185" s="3" t="e">
        <f>VLOOKUP(D185,LookupLists!$N$4:$T$60,5,FALSE)</f>
        <v>#N/A</v>
      </c>
    </row>
    <row r="186" spans="5:22" x14ac:dyDescent="0.3">
      <c r="E186" s="3" t="str">
        <f t="shared" si="2"/>
        <v/>
      </c>
      <c r="F186" s="3" t="str">
        <f xml:space="preserve"> IF(E186="","",  IFERROR(VLOOKUP(D186,LookupLists!$N$3:$T$60,6,FALSE)-LEN(E186),0))</f>
        <v/>
      </c>
      <c r="G186" s="3" t="str">
        <f>IF(E186="","",IFERROR(matches(E186,VLOOKUP(D186,LookupLists!$N$3:$T$60,7,FALSE)),FALSE))</f>
        <v/>
      </c>
      <c r="H186" s="3" t="e">
        <f>VLOOKUP(A186,LookupLists!$I$3:$L$60,1,FALSE)</f>
        <v>#N/A</v>
      </c>
      <c r="I186" s="3" t="e">
        <f>VLOOKUP(A186,LookupLists!$I$3:$L$60,2,FALSE)</f>
        <v>#N/A</v>
      </c>
      <c r="J186" s="3" t="e">
        <f>VLOOKUP(A186,LookupLists!$I$3:$L$60,3,FALSE)</f>
        <v>#N/A</v>
      </c>
      <c r="K186" s="3" t="e">
        <f>VLOOKUP(A186,LookupLists!$I$3:$L$60,4,FALSE)</f>
        <v>#N/A</v>
      </c>
      <c r="L186" s="3" t="e">
        <f>VLOOKUP(C186,LookupLists!$A$3:$G$60,1,FALSE)</f>
        <v>#N/A</v>
      </c>
      <c r="M186" s="3" t="e">
        <f>VLOOKUP(C186,LookupLists!$A$3:$G$60,4,FALSE)</f>
        <v>#N/A</v>
      </c>
      <c r="N186" s="3" t="e">
        <f>VLOOKUP(C186,LookupLists!$A$3:$G$60,2,FALSE)</f>
        <v>#N/A</v>
      </c>
      <c r="O186" s="3" t="e">
        <f>VLOOKUP(C186,LookupLists!$A$3:$G$60,3,FALSE)</f>
        <v>#N/A</v>
      </c>
      <c r="P186" s="3" t="e">
        <f>VLOOKUP(C186,LookupLists!$A$3:$G$60,5,FALSE)</f>
        <v>#N/A</v>
      </c>
      <c r="Q186" s="3" t="e">
        <f>VLOOKUP(C186,LookupLists!$A$3:$G$60,6,FALSE)</f>
        <v>#N/A</v>
      </c>
      <c r="R186" s="4" t="e">
        <f>VLOOKUP(C186,LookupLists!$A$3:$G$60,7,FALSE)</f>
        <v>#N/A</v>
      </c>
      <c r="S186" s="3" t="e">
        <f>VLOOKUP(D186,LookupLists!$N$4:$T$60,1,FALSE)</f>
        <v>#N/A</v>
      </c>
      <c r="T186" s="3" t="e">
        <f>VLOOKUP(D186,LookupLists!$N$4:$T$60,2,FALSE)</f>
        <v>#N/A</v>
      </c>
      <c r="U186" s="3" t="e">
        <f>VLOOKUP(D186,LookupLists!$N$4:$T$60,3,FALSE)</f>
        <v>#N/A</v>
      </c>
      <c r="V186" s="3" t="e">
        <f>VLOOKUP(D186,LookupLists!$N$4:$T$60,5,FALSE)</f>
        <v>#N/A</v>
      </c>
    </row>
    <row r="187" spans="5:22" x14ac:dyDescent="0.3">
      <c r="E187" s="3" t="str">
        <f t="shared" si="2"/>
        <v/>
      </c>
      <c r="F187" s="3" t="str">
        <f xml:space="preserve"> IF(E187="","",  IFERROR(VLOOKUP(D187,LookupLists!$N$3:$T$60,6,FALSE)-LEN(E187),0))</f>
        <v/>
      </c>
      <c r="G187" s="3" t="str">
        <f>IF(E187="","",IFERROR(matches(E187,VLOOKUP(D187,LookupLists!$N$3:$T$60,7,FALSE)),FALSE))</f>
        <v/>
      </c>
      <c r="H187" s="3" t="e">
        <f>VLOOKUP(A187,LookupLists!$I$3:$L$60,1,FALSE)</f>
        <v>#N/A</v>
      </c>
      <c r="I187" s="3" t="e">
        <f>VLOOKUP(A187,LookupLists!$I$3:$L$60,2,FALSE)</f>
        <v>#N/A</v>
      </c>
      <c r="J187" s="3" t="e">
        <f>VLOOKUP(A187,LookupLists!$I$3:$L$60,3,FALSE)</f>
        <v>#N/A</v>
      </c>
      <c r="K187" s="3" t="e">
        <f>VLOOKUP(A187,LookupLists!$I$3:$L$60,4,FALSE)</f>
        <v>#N/A</v>
      </c>
      <c r="L187" s="3" t="e">
        <f>VLOOKUP(C187,LookupLists!$A$3:$G$60,1,FALSE)</f>
        <v>#N/A</v>
      </c>
      <c r="M187" s="3" t="e">
        <f>VLOOKUP(C187,LookupLists!$A$3:$G$60,4,FALSE)</f>
        <v>#N/A</v>
      </c>
      <c r="N187" s="3" t="e">
        <f>VLOOKUP(C187,LookupLists!$A$3:$G$60,2,FALSE)</f>
        <v>#N/A</v>
      </c>
      <c r="O187" s="3" t="e">
        <f>VLOOKUP(C187,LookupLists!$A$3:$G$60,3,FALSE)</f>
        <v>#N/A</v>
      </c>
      <c r="P187" s="3" t="e">
        <f>VLOOKUP(C187,LookupLists!$A$3:$G$60,5,FALSE)</f>
        <v>#N/A</v>
      </c>
      <c r="Q187" s="3" t="e">
        <f>VLOOKUP(C187,LookupLists!$A$3:$G$60,6,FALSE)</f>
        <v>#N/A</v>
      </c>
      <c r="R187" s="4" t="e">
        <f>VLOOKUP(C187,LookupLists!$A$3:$G$60,7,FALSE)</f>
        <v>#N/A</v>
      </c>
      <c r="S187" s="3" t="e">
        <f>VLOOKUP(D187,LookupLists!$N$4:$T$60,1,FALSE)</f>
        <v>#N/A</v>
      </c>
      <c r="T187" s="3" t="e">
        <f>VLOOKUP(D187,LookupLists!$N$4:$T$60,2,FALSE)</f>
        <v>#N/A</v>
      </c>
      <c r="U187" s="3" t="e">
        <f>VLOOKUP(D187,LookupLists!$N$4:$T$60,3,FALSE)</f>
        <v>#N/A</v>
      </c>
      <c r="V187" s="3" t="e">
        <f>VLOOKUP(D187,LookupLists!$N$4:$T$60,5,FALSE)</f>
        <v>#N/A</v>
      </c>
    </row>
    <row r="188" spans="5:22" x14ac:dyDescent="0.3">
      <c r="E188" s="3" t="str">
        <f t="shared" si="2"/>
        <v/>
      </c>
      <c r="F188" s="3" t="str">
        <f xml:space="preserve"> IF(E188="","",  IFERROR(VLOOKUP(D188,LookupLists!$N$3:$T$60,6,FALSE)-LEN(E188),0))</f>
        <v/>
      </c>
      <c r="G188" s="3" t="str">
        <f>IF(E188="","",IFERROR(matches(E188,VLOOKUP(D188,LookupLists!$N$3:$T$60,7,FALSE)),FALSE))</f>
        <v/>
      </c>
      <c r="H188" s="3" t="e">
        <f>VLOOKUP(A188,LookupLists!$I$3:$L$60,1,FALSE)</f>
        <v>#N/A</v>
      </c>
      <c r="I188" s="3" t="e">
        <f>VLOOKUP(A188,LookupLists!$I$3:$L$60,2,FALSE)</f>
        <v>#N/A</v>
      </c>
      <c r="J188" s="3" t="e">
        <f>VLOOKUP(A188,LookupLists!$I$3:$L$60,3,FALSE)</f>
        <v>#N/A</v>
      </c>
      <c r="K188" s="3" t="e">
        <f>VLOOKUP(A188,LookupLists!$I$3:$L$60,4,FALSE)</f>
        <v>#N/A</v>
      </c>
      <c r="L188" s="3" t="e">
        <f>VLOOKUP(C188,LookupLists!$A$3:$G$60,1,FALSE)</f>
        <v>#N/A</v>
      </c>
      <c r="M188" s="3" t="e">
        <f>VLOOKUP(C188,LookupLists!$A$3:$G$60,4,FALSE)</f>
        <v>#N/A</v>
      </c>
      <c r="N188" s="3" t="e">
        <f>VLOOKUP(C188,LookupLists!$A$3:$G$60,2,FALSE)</f>
        <v>#N/A</v>
      </c>
      <c r="O188" s="3" t="e">
        <f>VLOOKUP(C188,LookupLists!$A$3:$G$60,3,FALSE)</f>
        <v>#N/A</v>
      </c>
      <c r="P188" s="3" t="e">
        <f>VLOOKUP(C188,LookupLists!$A$3:$G$60,5,FALSE)</f>
        <v>#N/A</v>
      </c>
      <c r="Q188" s="3" t="e">
        <f>VLOOKUP(C188,LookupLists!$A$3:$G$60,6,FALSE)</f>
        <v>#N/A</v>
      </c>
      <c r="R188" s="4" t="e">
        <f>VLOOKUP(C188,LookupLists!$A$3:$G$60,7,FALSE)</f>
        <v>#N/A</v>
      </c>
      <c r="S188" s="3" t="e">
        <f>VLOOKUP(D188,LookupLists!$N$4:$T$60,1,FALSE)</f>
        <v>#N/A</v>
      </c>
      <c r="T188" s="3" t="e">
        <f>VLOOKUP(D188,LookupLists!$N$4:$T$60,2,FALSE)</f>
        <v>#N/A</v>
      </c>
      <c r="U188" s="3" t="e">
        <f>VLOOKUP(D188,LookupLists!$N$4:$T$60,3,FALSE)</f>
        <v>#N/A</v>
      </c>
      <c r="V188" s="3" t="e">
        <f>VLOOKUP(D188,LookupLists!$N$4:$T$60,5,FALSE)</f>
        <v>#N/A</v>
      </c>
    </row>
    <row r="189" spans="5:22" x14ac:dyDescent="0.3">
      <c r="E189" s="3" t="str">
        <f t="shared" si="2"/>
        <v/>
      </c>
      <c r="F189" s="3" t="str">
        <f xml:space="preserve"> IF(E189="","",  IFERROR(VLOOKUP(D189,LookupLists!$N$3:$T$60,6,FALSE)-LEN(E189),0))</f>
        <v/>
      </c>
      <c r="G189" s="3" t="str">
        <f>IF(E189="","",IFERROR(matches(E189,VLOOKUP(D189,LookupLists!$N$3:$T$60,7,FALSE)),FALSE))</f>
        <v/>
      </c>
      <c r="H189" s="3" t="e">
        <f>VLOOKUP(A189,LookupLists!$I$3:$L$60,1,FALSE)</f>
        <v>#N/A</v>
      </c>
      <c r="I189" s="3" t="e">
        <f>VLOOKUP(A189,LookupLists!$I$3:$L$60,2,FALSE)</f>
        <v>#N/A</v>
      </c>
      <c r="J189" s="3" t="e">
        <f>VLOOKUP(A189,LookupLists!$I$3:$L$60,3,FALSE)</f>
        <v>#N/A</v>
      </c>
      <c r="K189" s="3" t="e">
        <f>VLOOKUP(A189,LookupLists!$I$3:$L$60,4,FALSE)</f>
        <v>#N/A</v>
      </c>
      <c r="L189" s="3" t="e">
        <f>VLOOKUP(C189,LookupLists!$A$3:$G$60,1,FALSE)</f>
        <v>#N/A</v>
      </c>
      <c r="M189" s="3" t="e">
        <f>VLOOKUP(C189,LookupLists!$A$3:$G$60,4,FALSE)</f>
        <v>#N/A</v>
      </c>
      <c r="N189" s="3" t="e">
        <f>VLOOKUP(C189,LookupLists!$A$3:$G$60,2,FALSE)</f>
        <v>#N/A</v>
      </c>
      <c r="O189" s="3" t="e">
        <f>VLOOKUP(C189,LookupLists!$A$3:$G$60,3,FALSE)</f>
        <v>#N/A</v>
      </c>
      <c r="P189" s="3" t="e">
        <f>VLOOKUP(C189,LookupLists!$A$3:$G$60,5,FALSE)</f>
        <v>#N/A</v>
      </c>
      <c r="Q189" s="3" t="e">
        <f>VLOOKUP(C189,LookupLists!$A$3:$G$60,6,FALSE)</f>
        <v>#N/A</v>
      </c>
      <c r="R189" s="4" t="e">
        <f>VLOOKUP(C189,LookupLists!$A$3:$G$60,7,FALSE)</f>
        <v>#N/A</v>
      </c>
      <c r="S189" s="3" t="e">
        <f>VLOOKUP(D189,LookupLists!$N$4:$T$60,1,FALSE)</f>
        <v>#N/A</v>
      </c>
      <c r="T189" s="3" t="e">
        <f>VLOOKUP(D189,LookupLists!$N$4:$T$60,2,FALSE)</f>
        <v>#N/A</v>
      </c>
      <c r="U189" s="3" t="e">
        <f>VLOOKUP(D189,LookupLists!$N$4:$T$60,3,FALSE)</f>
        <v>#N/A</v>
      </c>
      <c r="V189" s="3" t="e">
        <f>VLOOKUP(D189,LookupLists!$N$4:$T$60,5,FALSE)</f>
        <v>#N/A</v>
      </c>
    </row>
    <row r="190" spans="5:22" x14ac:dyDescent="0.3">
      <c r="E190" s="3" t="str">
        <f t="shared" si="2"/>
        <v/>
      </c>
      <c r="F190" s="3" t="str">
        <f xml:space="preserve"> IF(E190="","",  IFERROR(VLOOKUP(D190,LookupLists!$N$3:$T$60,6,FALSE)-LEN(E190),0))</f>
        <v/>
      </c>
      <c r="G190" s="3" t="str">
        <f>IF(E190="","",IFERROR(matches(E190,VLOOKUP(D190,LookupLists!$N$3:$T$60,7,FALSE)),FALSE))</f>
        <v/>
      </c>
      <c r="H190" s="3" t="e">
        <f>VLOOKUP(A190,LookupLists!$I$3:$L$60,1,FALSE)</f>
        <v>#N/A</v>
      </c>
      <c r="I190" s="3" t="e">
        <f>VLOOKUP(A190,LookupLists!$I$3:$L$60,2,FALSE)</f>
        <v>#N/A</v>
      </c>
      <c r="J190" s="3" t="e">
        <f>VLOOKUP(A190,LookupLists!$I$3:$L$60,3,FALSE)</f>
        <v>#N/A</v>
      </c>
      <c r="K190" s="3" t="e">
        <f>VLOOKUP(A190,LookupLists!$I$3:$L$60,4,FALSE)</f>
        <v>#N/A</v>
      </c>
      <c r="L190" s="3" t="e">
        <f>VLOOKUP(C190,LookupLists!$A$3:$G$60,1,FALSE)</f>
        <v>#N/A</v>
      </c>
      <c r="M190" s="3" t="e">
        <f>VLOOKUP(C190,LookupLists!$A$3:$G$60,4,FALSE)</f>
        <v>#N/A</v>
      </c>
      <c r="N190" s="3" t="e">
        <f>VLOOKUP(C190,LookupLists!$A$3:$G$60,2,FALSE)</f>
        <v>#N/A</v>
      </c>
      <c r="O190" s="3" t="e">
        <f>VLOOKUP(C190,LookupLists!$A$3:$G$60,3,FALSE)</f>
        <v>#N/A</v>
      </c>
      <c r="P190" s="3" t="e">
        <f>VLOOKUP(C190,LookupLists!$A$3:$G$60,5,FALSE)</f>
        <v>#N/A</v>
      </c>
      <c r="Q190" s="3" t="e">
        <f>VLOOKUP(C190,LookupLists!$A$3:$G$60,6,FALSE)</f>
        <v>#N/A</v>
      </c>
      <c r="R190" s="4" t="e">
        <f>VLOOKUP(C190,LookupLists!$A$3:$G$60,7,FALSE)</f>
        <v>#N/A</v>
      </c>
      <c r="S190" s="3" t="e">
        <f>VLOOKUP(D190,LookupLists!$N$4:$T$60,1,FALSE)</f>
        <v>#N/A</v>
      </c>
      <c r="T190" s="3" t="e">
        <f>VLOOKUP(D190,LookupLists!$N$4:$T$60,2,FALSE)</f>
        <v>#N/A</v>
      </c>
      <c r="U190" s="3" t="e">
        <f>VLOOKUP(D190,LookupLists!$N$4:$T$60,3,FALSE)</f>
        <v>#N/A</v>
      </c>
      <c r="V190" s="3" t="e">
        <f>VLOOKUP(D190,LookupLists!$N$4:$T$60,5,FALSE)</f>
        <v>#N/A</v>
      </c>
    </row>
    <row r="191" spans="5:22" x14ac:dyDescent="0.3">
      <c r="E191" s="3" t="str">
        <f t="shared" si="2"/>
        <v/>
      </c>
      <c r="F191" s="3" t="str">
        <f xml:space="preserve"> IF(E191="","",  IFERROR(VLOOKUP(D191,LookupLists!$N$3:$T$60,6,FALSE)-LEN(E191),0))</f>
        <v/>
      </c>
      <c r="G191" s="3" t="str">
        <f>IF(E191="","",IFERROR(matches(E191,VLOOKUP(D191,LookupLists!$N$3:$T$60,7,FALSE)),FALSE))</f>
        <v/>
      </c>
      <c r="H191" s="3" t="e">
        <f>VLOOKUP(A191,LookupLists!$I$3:$L$60,1,FALSE)</f>
        <v>#N/A</v>
      </c>
      <c r="I191" s="3" t="e">
        <f>VLOOKUP(A191,LookupLists!$I$3:$L$60,2,FALSE)</f>
        <v>#N/A</v>
      </c>
      <c r="J191" s="3" t="e">
        <f>VLOOKUP(A191,LookupLists!$I$3:$L$60,3,FALSE)</f>
        <v>#N/A</v>
      </c>
      <c r="K191" s="3" t="e">
        <f>VLOOKUP(A191,LookupLists!$I$3:$L$60,4,FALSE)</f>
        <v>#N/A</v>
      </c>
      <c r="L191" s="3" t="e">
        <f>VLOOKUP(C191,LookupLists!$A$3:$G$60,1,FALSE)</f>
        <v>#N/A</v>
      </c>
      <c r="M191" s="3" t="e">
        <f>VLOOKUP(C191,LookupLists!$A$3:$G$60,4,FALSE)</f>
        <v>#N/A</v>
      </c>
      <c r="N191" s="3" t="e">
        <f>VLOOKUP(C191,LookupLists!$A$3:$G$60,2,FALSE)</f>
        <v>#N/A</v>
      </c>
      <c r="O191" s="3" t="e">
        <f>VLOOKUP(C191,LookupLists!$A$3:$G$60,3,FALSE)</f>
        <v>#N/A</v>
      </c>
      <c r="P191" s="3" t="e">
        <f>VLOOKUP(C191,LookupLists!$A$3:$G$60,5,FALSE)</f>
        <v>#N/A</v>
      </c>
      <c r="Q191" s="3" t="e">
        <f>VLOOKUP(C191,LookupLists!$A$3:$G$60,6,FALSE)</f>
        <v>#N/A</v>
      </c>
      <c r="R191" s="4" t="e">
        <f>VLOOKUP(C191,LookupLists!$A$3:$G$60,7,FALSE)</f>
        <v>#N/A</v>
      </c>
      <c r="S191" s="3" t="e">
        <f>VLOOKUP(D191,LookupLists!$N$4:$T$60,1,FALSE)</f>
        <v>#N/A</v>
      </c>
      <c r="T191" s="3" t="e">
        <f>VLOOKUP(D191,LookupLists!$N$4:$T$60,2,FALSE)</f>
        <v>#N/A</v>
      </c>
      <c r="U191" s="3" t="e">
        <f>VLOOKUP(D191,LookupLists!$N$4:$T$60,3,FALSE)</f>
        <v>#N/A</v>
      </c>
      <c r="V191" s="3" t="e">
        <f>VLOOKUP(D191,LookupLists!$N$4:$T$60,5,FALSE)</f>
        <v>#N/A</v>
      </c>
    </row>
    <row r="192" spans="5:22" x14ac:dyDescent="0.3">
      <c r="E192" s="3" t="str">
        <f t="shared" si="2"/>
        <v/>
      </c>
      <c r="F192" s="3" t="str">
        <f xml:space="preserve"> IF(E192="","",  IFERROR(VLOOKUP(D192,LookupLists!$N$3:$T$60,6,FALSE)-LEN(E192),0))</f>
        <v/>
      </c>
      <c r="G192" s="3" t="str">
        <f>IF(E192="","",IFERROR(matches(E192,VLOOKUP(D192,LookupLists!$N$3:$T$60,7,FALSE)),FALSE))</f>
        <v/>
      </c>
      <c r="H192" s="3" t="e">
        <f>VLOOKUP(A192,LookupLists!$I$3:$L$60,1,FALSE)</f>
        <v>#N/A</v>
      </c>
      <c r="I192" s="3" t="e">
        <f>VLOOKUP(A192,LookupLists!$I$3:$L$60,2,FALSE)</f>
        <v>#N/A</v>
      </c>
      <c r="J192" s="3" t="e">
        <f>VLOOKUP(A192,LookupLists!$I$3:$L$60,3,FALSE)</f>
        <v>#N/A</v>
      </c>
      <c r="K192" s="3" t="e">
        <f>VLOOKUP(A192,LookupLists!$I$3:$L$60,4,FALSE)</f>
        <v>#N/A</v>
      </c>
      <c r="L192" s="3" t="e">
        <f>VLOOKUP(C192,LookupLists!$A$3:$G$60,1,FALSE)</f>
        <v>#N/A</v>
      </c>
      <c r="M192" s="3" t="e">
        <f>VLOOKUP(C192,LookupLists!$A$3:$G$60,4,FALSE)</f>
        <v>#N/A</v>
      </c>
      <c r="N192" s="3" t="e">
        <f>VLOOKUP(C192,LookupLists!$A$3:$G$60,2,FALSE)</f>
        <v>#N/A</v>
      </c>
      <c r="O192" s="3" t="e">
        <f>VLOOKUP(C192,LookupLists!$A$3:$G$60,3,FALSE)</f>
        <v>#N/A</v>
      </c>
      <c r="P192" s="3" t="e">
        <f>VLOOKUP(C192,LookupLists!$A$3:$G$60,5,FALSE)</f>
        <v>#N/A</v>
      </c>
      <c r="Q192" s="3" t="e">
        <f>VLOOKUP(C192,LookupLists!$A$3:$G$60,6,FALSE)</f>
        <v>#N/A</v>
      </c>
      <c r="R192" s="4" t="e">
        <f>VLOOKUP(C192,LookupLists!$A$3:$G$60,7,FALSE)</f>
        <v>#N/A</v>
      </c>
      <c r="S192" s="3" t="e">
        <f>VLOOKUP(D192,LookupLists!$N$4:$T$60,1,FALSE)</f>
        <v>#N/A</v>
      </c>
      <c r="T192" s="3" t="e">
        <f>VLOOKUP(D192,LookupLists!$N$4:$T$60,2,FALSE)</f>
        <v>#N/A</v>
      </c>
      <c r="U192" s="3" t="e">
        <f>VLOOKUP(D192,LookupLists!$N$4:$T$60,3,FALSE)</f>
        <v>#N/A</v>
      </c>
      <c r="V192" s="3" t="e">
        <f>VLOOKUP(D192,LookupLists!$N$4:$T$60,5,FALSE)</f>
        <v>#N/A</v>
      </c>
    </row>
    <row r="193" spans="5:22" x14ac:dyDescent="0.3">
      <c r="E193" s="3" t="str">
        <f t="shared" si="2"/>
        <v/>
      </c>
      <c r="F193" s="3" t="str">
        <f xml:space="preserve"> IF(E193="","",  IFERROR(VLOOKUP(D193,LookupLists!$N$3:$T$60,6,FALSE)-LEN(E193),0))</f>
        <v/>
      </c>
      <c r="G193" s="3" t="str">
        <f>IF(E193="","",IFERROR(matches(E193,VLOOKUP(D193,LookupLists!$N$3:$T$60,7,FALSE)),FALSE))</f>
        <v/>
      </c>
      <c r="H193" s="3" t="e">
        <f>VLOOKUP(A193,LookupLists!$I$3:$L$60,1,FALSE)</f>
        <v>#N/A</v>
      </c>
      <c r="I193" s="3" t="e">
        <f>VLOOKUP(A193,LookupLists!$I$3:$L$60,2,FALSE)</f>
        <v>#N/A</v>
      </c>
      <c r="J193" s="3" t="e">
        <f>VLOOKUP(A193,LookupLists!$I$3:$L$60,3,FALSE)</f>
        <v>#N/A</v>
      </c>
      <c r="K193" s="3" t="e">
        <f>VLOOKUP(A193,LookupLists!$I$3:$L$60,4,FALSE)</f>
        <v>#N/A</v>
      </c>
      <c r="L193" s="3" t="e">
        <f>VLOOKUP(C193,LookupLists!$A$3:$G$60,1,FALSE)</f>
        <v>#N/A</v>
      </c>
      <c r="M193" s="3" t="e">
        <f>VLOOKUP(C193,LookupLists!$A$3:$G$60,4,FALSE)</f>
        <v>#N/A</v>
      </c>
      <c r="N193" s="3" t="e">
        <f>VLOOKUP(C193,LookupLists!$A$3:$G$60,2,FALSE)</f>
        <v>#N/A</v>
      </c>
      <c r="O193" s="3" t="e">
        <f>VLOOKUP(C193,LookupLists!$A$3:$G$60,3,FALSE)</f>
        <v>#N/A</v>
      </c>
      <c r="P193" s="3" t="e">
        <f>VLOOKUP(C193,LookupLists!$A$3:$G$60,5,FALSE)</f>
        <v>#N/A</v>
      </c>
      <c r="Q193" s="3" t="e">
        <f>VLOOKUP(C193,LookupLists!$A$3:$G$60,6,FALSE)</f>
        <v>#N/A</v>
      </c>
      <c r="R193" s="4" t="e">
        <f>VLOOKUP(C193,LookupLists!$A$3:$G$60,7,FALSE)</f>
        <v>#N/A</v>
      </c>
      <c r="S193" s="3" t="e">
        <f>VLOOKUP(D193,LookupLists!$N$4:$T$60,1,FALSE)</f>
        <v>#N/A</v>
      </c>
      <c r="T193" s="3" t="e">
        <f>VLOOKUP(D193,LookupLists!$N$4:$T$60,2,FALSE)</f>
        <v>#N/A</v>
      </c>
      <c r="U193" s="3" t="e">
        <f>VLOOKUP(D193,LookupLists!$N$4:$T$60,3,FALSE)</f>
        <v>#N/A</v>
      </c>
      <c r="V193" s="3" t="e">
        <f>VLOOKUP(D193,LookupLists!$N$4:$T$60,5,FALSE)</f>
        <v>#N/A</v>
      </c>
    </row>
    <row r="194" spans="5:22" x14ac:dyDescent="0.3">
      <c r="E194" s="3" t="str">
        <f t="shared" si="2"/>
        <v/>
      </c>
      <c r="F194" s="3" t="str">
        <f xml:space="preserve"> IF(E194="","",  IFERROR(VLOOKUP(D194,LookupLists!$N$3:$T$60,6,FALSE)-LEN(E194),0))</f>
        <v/>
      </c>
      <c r="G194" s="3" t="str">
        <f>IF(E194="","",IFERROR(matches(E194,VLOOKUP(D194,LookupLists!$N$3:$T$60,7,FALSE)),FALSE))</f>
        <v/>
      </c>
      <c r="H194" s="3" t="e">
        <f>VLOOKUP(A194,LookupLists!$I$3:$L$60,1,FALSE)</f>
        <v>#N/A</v>
      </c>
      <c r="I194" s="3" t="e">
        <f>VLOOKUP(A194,LookupLists!$I$3:$L$60,2,FALSE)</f>
        <v>#N/A</v>
      </c>
      <c r="J194" s="3" t="e">
        <f>VLOOKUP(A194,LookupLists!$I$3:$L$60,3,FALSE)</f>
        <v>#N/A</v>
      </c>
      <c r="K194" s="3" t="e">
        <f>VLOOKUP(A194,LookupLists!$I$3:$L$60,4,FALSE)</f>
        <v>#N/A</v>
      </c>
      <c r="L194" s="3" t="e">
        <f>VLOOKUP(C194,LookupLists!$A$3:$G$60,1,FALSE)</f>
        <v>#N/A</v>
      </c>
      <c r="M194" s="3" t="e">
        <f>VLOOKUP(C194,LookupLists!$A$3:$G$60,4,FALSE)</f>
        <v>#N/A</v>
      </c>
      <c r="N194" s="3" t="e">
        <f>VLOOKUP(C194,LookupLists!$A$3:$G$60,2,FALSE)</f>
        <v>#N/A</v>
      </c>
      <c r="O194" s="3" t="e">
        <f>VLOOKUP(C194,LookupLists!$A$3:$G$60,3,FALSE)</f>
        <v>#N/A</v>
      </c>
      <c r="P194" s="3" t="e">
        <f>VLOOKUP(C194,LookupLists!$A$3:$G$60,5,FALSE)</f>
        <v>#N/A</v>
      </c>
      <c r="Q194" s="3" t="e">
        <f>VLOOKUP(C194,LookupLists!$A$3:$G$60,6,FALSE)</f>
        <v>#N/A</v>
      </c>
      <c r="R194" s="4" t="e">
        <f>VLOOKUP(C194,LookupLists!$A$3:$G$60,7,FALSE)</f>
        <v>#N/A</v>
      </c>
      <c r="S194" s="3" t="e">
        <f>VLOOKUP(D194,LookupLists!$N$4:$T$60,1,FALSE)</f>
        <v>#N/A</v>
      </c>
      <c r="T194" s="3" t="e">
        <f>VLOOKUP(D194,LookupLists!$N$4:$T$60,2,FALSE)</f>
        <v>#N/A</v>
      </c>
      <c r="U194" s="3" t="e">
        <f>VLOOKUP(D194,LookupLists!$N$4:$T$60,3,FALSE)</f>
        <v>#N/A</v>
      </c>
      <c r="V194" s="3" t="e">
        <f>VLOOKUP(D194,LookupLists!$N$4:$T$60,5,FALSE)</f>
        <v>#N/A</v>
      </c>
    </row>
    <row r="195" spans="5:22" x14ac:dyDescent="0.3">
      <c r="E195" s="3" t="str">
        <f t="shared" si="2"/>
        <v/>
      </c>
      <c r="F195" s="3" t="str">
        <f xml:space="preserve"> IF(E195="","",  IFERROR(VLOOKUP(D195,LookupLists!$N$3:$T$60,6,FALSE)-LEN(E195),0))</f>
        <v/>
      </c>
      <c r="G195" s="3" t="str">
        <f>IF(E195="","",IFERROR(matches(E195,VLOOKUP(D195,LookupLists!$N$3:$T$60,7,FALSE)),FALSE))</f>
        <v/>
      </c>
      <c r="H195" s="3" t="e">
        <f>VLOOKUP(A195,LookupLists!$I$3:$L$60,1,FALSE)</f>
        <v>#N/A</v>
      </c>
      <c r="I195" s="3" t="e">
        <f>VLOOKUP(A195,LookupLists!$I$3:$L$60,2,FALSE)</f>
        <v>#N/A</v>
      </c>
      <c r="J195" s="3" t="e">
        <f>VLOOKUP(A195,LookupLists!$I$3:$L$60,3,FALSE)</f>
        <v>#N/A</v>
      </c>
      <c r="K195" s="3" t="e">
        <f>VLOOKUP(A195,LookupLists!$I$3:$L$60,4,FALSE)</f>
        <v>#N/A</v>
      </c>
      <c r="L195" s="3" t="e">
        <f>VLOOKUP(C195,LookupLists!$A$3:$G$60,1,FALSE)</f>
        <v>#N/A</v>
      </c>
      <c r="M195" s="3" t="e">
        <f>VLOOKUP(C195,LookupLists!$A$3:$G$60,4,FALSE)</f>
        <v>#N/A</v>
      </c>
      <c r="N195" s="3" t="e">
        <f>VLOOKUP(C195,LookupLists!$A$3:$G$60,2,FALSE)</f>
        <v>#N/A</v>
      </c>
      <c r="O195" s="3" t="e">
        <f>VLOOKUP(C195,LookupLists!$A$3:$G$60,3,FALSE)</f>
        <v>#N/A</v>
      </c>
      <c r="P195" s="3" t="e">
        <f>VLOOKUP(C195,LookupLists!$A$3:$G$60,5,FALSE)</f>
        <v>#N/A</v>
      </c>
      <c r="Q195" s="3" t="e">
        <f>VLOOKUP(C195,LookupLists!$A$3:$G$60,6,FALSE)</f>
        <v>#N/A</v>
      </c>
      <c r="R195" s="4" t="e">
        <f>VLOOKUP(C195,LookupLists!$A$3:$G$60,7,FALSE)</f>
        <v>#N/A</v>
      </c>
      <c r="S195" s="3" t="e">
        <f>VLOOKUP(D195,LookupLists!$N$4:$T$60,1,FALSE)</f>
        <v>#N/A</v>
      </c>
      <c r="T195" s="3" t="e">
        <f>VLOOKUP(D195,LookupLists!$N$4:$T$60,2,FALSE)</f>
        <v>#N/A</v>
      </c>
      <c r="U195" s="3" t="e">
        <f>VLOOKUP(D195,LookupLists!$N$4:$T$60,3,FALSE)</f>
        <v>#N/A</v>
      </c>
      <c r="V195" s="3" t="e">
        <f>VLOOKUP(D195,LookupLists!$N$4:$T$60,5,FALSE)</f>
        <v>#N/A</v>
      </c>
    </row>
    <row r="196" spans="5:22" x14ac:dyDescent="0.3">
      <c r="E196" s="3" t="str">
        <f t="shared" si="2"/>
        <v/>
      </c>
      <c r="F196" s="3" t="str">
        <f xml:space="preserve"> IF(E196="","",  IFERROR(VLOOKUP(D196,LookupLists!$N$3:$T$60,6,FALSE)-LEN(E196),0))</f>
        <v/>
      </c>
      <c r="G196" s="3" t="str">
        <f>IF(E196="","",IFERROR(matches(E196,VLOOKUP(D196,LookupLists!$N$3:$T$60,7,FALSE)),FALSE))</f>
        <v/>
      </c>
      <c r="H196" s="3" t="e">
        <f>VLOOKUP(A196,LookupLists!$I$3:$L$60,1,FALSE)</f>
        <v>#N/A</v>
      </c>
      <c r="I196" s="3" t="e">
        <f>VLOOKUP(A196,LookupLists!$I$3:$L$60,2,FALSE)</f>
        <v>#N/A</v>
      </c>
      <c r="J196" s="3" t="e">
        <f>VLOOKUP(A196,LookupLists!$I$3:$L$60,3,FALSE)</f>
        <v>#N/A</v>
      </c>
      <c r="K196" s="3" t="e">
        <f>VLOOKUP(A196,LookupLists!$I$3:$L$60,4,FALSE)</f>
        <v>#N/A</v>
      </c>
      <c r="L196" s="3" t="e">
        <f>VLOOKUP(C196,LookupLists!$A$3:$G$60,1,FALSE)</f>
        <v>#N/A</v>
      </c>
      <c r="M196" s="3" t="e">
        <f>VLOOKUP(C196,LookupLists!$A$3:$G$60,4,FALSE)</f>
        <v>#N/A</v>
      </c>
      <c r="N196" s="3" t="e">
        <f>VLOOKUP(C196,LookupLists!$A$3:$G$60,2,FALSE)</f>
        <v>#N/A</v>
      </c>
      <c r="O196" s="3" t="e">
        <f>VLOOKUP(C196,LookupLists!$A$3:$G$60,3,FALSE)</f>
        <v>#N/A</v>
      </c>
      <c r="P196" s="3" t="e">
        <f>VLOOKUP(C196,LookupLists!$A$3:$G$60,5,FALSE)</f>
        <v>#N/A</v>
      </c>
      <c r="Q196" s="3" t="e">
        <f>VLOOKUP(C196,LookupLists!$A$3:$G$60,6,FALSE)</f>
        <v>#N/A</v>
      </c>
      <c r="R196" s="4" t="e">
        <f>VLOOKUP(C196,LookupLists!$A$3:$G$60,7,FALSE)</f>
        <v>#N/A</v>
      </c>
      <c r="S196" s="3" t="e">
        <f>VLOOKUP(D196,LookupLists!$N$4:$T$60,1,FALSE)</f>
        <v>#N/A</v>
      </c>
      <c r="T196" s="3" t="e">
        <f>VLOOKUP(D196,LookupLists!$N$4:$T$60,2,FALSE)</f>
        <v>#N/A</v>
      </c>
      <c r="U196" s="3" t="e">
        <f>VLOOKUP(D196,LookupLists!$N$4:$T$60,3,FALSE)</f>
        <v>#N/A</v>
      </c>
      <c r="V196" s="3" t="e">
        <f>VLOOKUP(D196,LookupLists!$N$4:$T$60,5,FALSE)</f>
        <v>#N/A</v>
      </c>
    </row>
    <row r="197" spans="5:22" x14ac:dyDescent="0.3">
      <c r="E197" s="3" t="str">
        <f t="shared" si="2"/>
        <v/>
      </c>
      <c r="F197" s="3" t="str">
        <f xml:space="preserve"> IF(E197="","",  IFERROR(VLOOKUP(D197,LookupLists!$N$3:$T$60,6,FALSE)-LEN(E197),0))</f>
        <v/>
      </c>
      <c r="G197" s="3" t="str">
        <f>IF(E197="","",IFERROR(matches(E197,VLOOKUP(D197,LookupLists!$N$3:$T$60,7,FALSE)),FALSE))</f>
        <v/>
      </c>
      <c r="H197" s="3" t="e">
        <f>VLOOKUP(A197,LookupLists!$I$3:$L$60,1,FALSE)</f>
        <v>#N/A</v>
      </c>
      <c r="I197" s="3" t="e">
        <f>VLOOKUP(A197,LookupLists!$I$3:$L$60,2,FALSE)</f>
        <v>#N/A</v>
      </c>
      <c r="J197" s="3" t="e">
        <f>VLOOKUP(A197,LookupLists!$I$3:$L$60,3,FALSE)</f>
        <v>#N/A</v>
      </c>
      <c r="K197" s="3" t="e">
        <f>VLOOKUP(A197,LookupLists!$I$3:$L$60,4,FALSE)</f>
        <v>#N/A</v>
      </c>
      <c r="L197" s="3" t="e">
        <f>VLOOKUP(C197,LookupLists!$A$3:$G$60,1,FALSE)</f>
        <v>#N/A</v>
      </c>
      <c r="M197" s="3" t="e">
        <f>VLOOKUP(C197,LookupLists!$A$3:$G$60,4,FALSE)</f>
        <v>#N/A</v>
      </c>
      <c r="N197" s="3" t="e">
        <f>VLOOKUP(C197,LookupLists!$A$3:$G$60,2,FALSE)</f>
        <v>#N/A</v>
      </c>
      <c r="O197" s="3" t="e">
        <f>VLOOKUP(C197,LookupLists!$A$3:$G$60,3,FALSE)</f>
        <v>#N/A</v>
      </c>
      <c r="P197" s="3" t="e">
        <f>VLOOKUP(C197,LookupLists!$A$3:$G$60,5,FALSE)</f>
        <v>#N/A</v>
      </c>
      <c r="Q197" s="3" t="e">
        <f>VLOOKUP(C197,LookupLists!$A$3:$G$60,6,FALSE)</f>
        <v>#N/A</v>
      </c>
      <c r="R197" s="4" t="e">
        <f>VLOOKUP(C197,LookupLists!$A$3:$G$60,7,FALSE)</f>
        <v>#N/A</v>
      </c>
      <c r="S197" s="3" t="e">
        <f>VLOOKUP(D197,LookupLists!$N$4:$T$60,1,FALSE)</f>
        <v>#N/A</v>
      </c>
      <c r="T197" s="3" t="e">
        <f>VLOOKUP(D197,LookupLists!$N$4:$T$60,2,FALSE)</f>
        <v>#N/A</v>
      </c>
      <c r="U197" s="3" t="e">
        <f>VLOOKUP(D197,LookupLists!$N$4:$T$60,3,FALSE)</f>
        <v>#N/A</v>
      </c>
      <c r="V197" s="3" t="e">
        <f>VLOOKUP(D197,LookupLists!$N$4:$T$60,5,FALSE)</f>
        <v>#N/A</v>
      </c>
    </row>
    <row r="198" spans="5:22" x14ac:dyDescent="0.3">
      <c r="E198" s="3" t="str">
        <f t="shared" si="2"/>
        <v/>
      </c>
      <c r="F198" s="3" t="str">
        <f xml:space="preserve"> IF(E198="","",  IFERROR(VLOOKUP(D198,LookupLists!$N$3:$T$60,6,FALSE)-LEN(E198),0))</f>
        <v/>
      </c>
      <c r="G198" s="3" t="str">
        <f>IF(E198="","",IFERROR(matches(E198,VLOOKUP(D198,LookupLists!$N$3:$T$60,7,FALSE)),FALSE))</f>
        <v/>
      </c>
      <c r="H198" s="3" t="e">
        <f>VLOOKUP(A198,LookupLists!$I$3:$L$60,1,FALSE)</f>
        <v>#N/A</v>
      </c>
      <c r="I198" s="3" t="e">
        <f>VLOOKUP(A198,LookupLists!$I$3:$L$60,2,FALSE)</f>
        <v>#N/A</v>
      </c>
      <c r="J198" s="3" t="e">
        <f>VLOOKUP(A198,LookupLists!$I$3:$L$60,3,FALSE)</f>
        <v>#N/A</v>
      </c>
      <c r="K198" s="3" t="e">
        <f>VLOOKUP(A198,LookupLists!$I$3:$L$60,4,FALSE)</f>
        <v>#N/A</v>
      </c>
      <c r="L198" s="3" t="e">
        <f>VLOOKUP(C198,LookupLists!$A$3:$G$60,1,FALSE)</f>
        <v>#N/A</v>
      </c>
      <c r="M198" s="3" t="e">
        <f>VLOOKUP(C198,LookupLists!$A$3:$G$60,4,FALSE)</f>
        <v>#N/A</v>
      </c>
      <c r="N198" s="3" t="e">
        <f>VLOOKUP(C198,LookupLists!$A$3:$G$60,2,FALSE)</f>
        <v>#N/A</v>
      </c>
      <c r="O198" s="3" t="e">
        <f>VLOOKUP(C198,LookupLists!$A$3:$G$60,3,FALSE)</f>
        <v>#N/A</v>
      </c>
      <c r="P198" s="3" t="e">
        <f>VLOOKUP(C198,LookupLists!$A$3:$G$60,5,FALSE)</f>
        <v>#N/A</v>
      </c>
      <c r="Q198" s="3" t="e">
        <f>VLOOKUP(C198,LookupLists!$A$3:$G$60,6,FALSE)</f>
        <v>#N/A</v>
      </c>
      <c r="R198" s="4" t="e">
        <f>VLOOKUP(C198,LookupLists!$A$3:$G$60,7,FALSE)</f>
        <v>#N/A</v>
      </c>
      <c r="S198" s="3" t="e">
        <f>VLOOKUP(D198,LookupLists!$N$4:$T$60,1,FALSE)</f>
        <v>#N/A</v>
      </c>
      <c r="T198" s="3" t="e">
        <f>VLOOKUP(D198,LookupLists!$N$4:$T$60,2,FALSE)</f>
        <v>#N/A</v>
      </c>
      <c r="U198" s="3" t="e">
        <f>VLOOKUP(D198,LookupLists!$N$4:$T$60,3,FALSE)</f>
        <v>#N/A</v>
      </c>
      <c r="V198" s="3" t="e">
        <f>VLOOKUP(D198,LookupLists!$N$4:$T$60,5,FALSE)</f>
        <v>#N/A</v>
      </c>
    </row>
    <row r="199" spans="5:22" x14ac:dyDescent="0.3">
      <c r="E199" s="3" t="str">
        <f t="shared" si="2"/>
        <v/>
      </c>
      <c r="F199" s="3" t="str">
        <f xml:space="preserve"> IF(E199="","",  IFERROR(VLOOKUP(D199,LookupLists!$N$3:$T$60,6,FALSE)-LEN(E199),0))</f>
        <v/>
      </c>
      <c r="G199" s="3" t="str">
        <f>IF(E199="","",IFERROR(matches(E199,VLOOKUP(D199,LookupLists!$N$3:$T$60,7,FALSE)),FALSE))</f>
        <v/>
      </c>
      <c r="H199" s="3" t="e">
        <f>VLOOKUP(A199,LookupLists!$I$3:$L$60,1,FALSE)</f>
        <v>#N/A</v>
      </c>
      <c r="I199" s="3" t="e">
        <f>VLOOKUP(A199,LookupLists!$I$3:$L$60,2,FALSE)</f>
        <v>#N/A</v>
      </c>
      <c r="J199" s="3" t="e">
        <f>VLOOKUP(A199,LookupLists!$I$3:$L$60,3,FALSE)</f>
        <v>#N/A</v>
      </c>
      <c r="K199" s="3" t="e">
        <f>VLOOKUP(A199,LookupLists!$I$3:$L$60,4,FALSE)</f>
        <v>#N/A</v>
      </c>
      <c r="L199" s="3" t="e">
        <f>VLOOKUP(C199,LookupLists!$A$3:$G$60,1,FALSE)</f>
        <v>#N/A</v>
      </c>
      <c r="M199" s="3" t="e">
        <f>VLOOKUP(C199,LookupLists!$A$3:$G$60,4,FALSE)</f>
        <v>#N/A</v>
      </c>
      <c r="N199" s="3" t="e">
        <f>VLOOKUP(C199,LookupLists!$A$3:$G$60,2,FALSE)</f>
        <v>#N/A</v>
      </c>
      <c r="O199" s="3" t="e">
        <f>VLOOKUP(C199,LookupLists!$A$3:$G$60,3,FALSE)</f>
        <v>#N/A</v>
      </c>
      <c r="P199" s="3" t="e">
        <f>VLOOKUP(C199,LookupLists!$A$3:$G$60,5,FALSE)</f>
        <v>#N/A</v>
      </c>
      <c r="Q199" s="3" t="e">
        <f>VLOOKUP(C199,LookupLists!$A$3:$G$60,6,FALSE)</f>
        <v>#N/A</v>
      </c>
      <c r="R199" s="4" t="e">
        <f>VLOOKUP(C199,LookupLists!$A$3:$G$60,7,FALSE)</f>
        <v>#N/A</v>
      </c>
      <c r="S199" s="3" t="e">
        <f>VLOOKUP(D199,LookupLists!$N$4:$T$60,1,FALSE)</f>
        <v>#N/A</v>
      </c>
      <c r="T199" s="3" t="e">
        <f>VLOOKUP(D199,LookupLists!$N$4:$T$60,2,FALSE)</f>
        <v>#N/A</v>
      </c>
      <c r="U199" s="3" t="e">
        <f>VLOOKUP(D199,LookupLists!$N$4:$T$60,3,FALSE)</f>
        <v>#N/A</v>
      </c>
      <c r="V199" s="3" t="e">
        <f>VLOOKUP(D199,LookupLists!$N$4:$T$60,5,FALSE)</f>
        <v>#N/A</v>
      </c>
    </row>
    <row r="200" spans="5:22" x14ac:dyDescent="0.3">
      <c r="E200" s="3" t="str">
        <f t="shared" ref="E200:E263" si="3">IFERROR(ComputeResourceName($B$3,$B$2,$B$1,B200,H200,I200,J200,K200,L200,N200,O200,M200,R200,S200,T200,U200,V200,0),"")</f>
        <v/>
      </c>
      <c r="F200" s="3" t="str">
        <f xml:space="preserve"> IF(E200="","",  IFERROR(VLOOKUP(D200,LookupLists!$N$3:$T$60,6,FALSE)-LEN(E200),0))</f>
        <v/>
      </c>
      <c r="G200" s="3" t="str">
        <f>IF(E200="","",IFERROR(matches(E200,VLOOKUP(D200,LookupLists!$N$3:$T$60,7,FALSE)),FALSE))</f>
        <v/>
      </c>
      <c r="H200" s="3" t="e">
        <f>VLOOKUP(A200,LookupLists!$I$3:$L$60,1,FALSE)</f>
        <v>#N/A</v>
      </c>
      <c r="I200" s="3" t="e">
        <f>VLOOKUP(A200,LookupLists!$I$3:$L$60,2,FALSE)</f>
        <v>#N/A</v>
      </c>
      <c r="J200" s="3" t="e">
        <f>VLOOKUP(A200,LookupLists!$I$3:$L$60,3,FALSE)</f>
        <v>#N/A</v>
      </c>
      <c r="K200" s="3" t="e">
        <f>VLOOKUP(A200,LookupLists!$I$3:$L$60,4,FALSE)</f>
        <v>#N/A</v>
      </c>
      <c r="L200" s="3" t="e">
        <f>VLOOKUP(C200,LookupLists!$A$3:$G$60,1,FALSE)</f>
        <v>#N/A</v>
      </c>
      <c r="M200" s="3" t="e">
        <f>VLOOKUP(C200,LookupLists!$A$3:$G$60,4,FALSE)</f>
        <v>#N/A</v>
      </c>
      <c r="N200" s="3" t="e">
        <f>VLOOKUP(C200,LookupLists!$A$3:$G$60,2,FALSE)</f>
        <v>#N/A</v>
      </c>
      <c r="O200" s="3" t="e">
        <f>VLOOKUP(C200,LookupLists!$A$3:$G$60,3,FALSE)</f>
        <v>#N/A</v>
      </c>
      <c r="P200" s="3" t="e">
        <f>VLOOKUP(C200,LookupLists!$A$3:$G$60,5,FALSE)</f>
        <v>#N/A</v>
      </c>
      <c r="Q200" s="3" t="e">
        <f>VLOOKUP(C200,LookupLists!$A$3:$G$60,6,FALSE)</f>
        <v>#N/A</v>
      </c>
      <c r="R200" s="4" t="e">
        <f>VLOOKUP(C200,LookupLists!$A$3:$G$60,7,FALSE)</f>
        <v>#N/A</v>
      </c>
      <c r="S200" s="3" t="e">
        <f>VLOOKUP(D200,LookupLists!$N$4:$T$60,1,FALSE)</f>
        <v>#N/A</v>
      </c>
      <c r="T200" s="3" t="e">
        <f>VLOOKUP(D200,LookupLists!$N$4:$T$60,2,FALSE)</f>
        <v>#N/A</v>
      </c>
      <c r="U200" s="3" t="e">
        <f>VLOOKUP(D200,LookupLists!$N$4:$T$60,3,FALSE)</f>
        <v>#N/A</v>
      </c>
      <c r="V200" s="3" t="e">
        <f>VLOOKUP(D200,LookupLists!$N$4:$T$60,5,FALSE)</f>
        <v>#N/A</v>
      </c>
    </row>
    <row r="201" spans="5:22" x14ac:dyDescent="0.3">
      <c r="E201" s="3" t="str">
        <f t="shared" si="3"/>
        <v/>
      </c>
      <c r="F201" s="3" t="str">
        <f xml:space="preserve"> IF(E201="","",  IFERROR(VLOOKUP(D201,LookupLists!$N$3:$T$60,6,FALSE)-LEN(E201),0))</f>
        <v/>
      </c>
      <c r="G201" s="3" t="str">
        <f>IF(E201="","",IFERROR(matches(E201,VLOOKUP(D201,LookupLists!$N$3:$T$60,7,FALSE)),FALSE))</f>
        <v/>
      </c>
      <c r="H201" s="3" t="e">
        <f>VLOOKUP(A201,LookupLists!$I$3:$L$60,1,FALSE)</f>
        <v>#N/A</v>
      </c>
      <c r="I201" s="3" t="e">
        <f>VLOOKUP(A201,LookupLists!$I$3:$L$60,2,FALSE)</f>
        <v>#N/A</v>
      </c>
      <c r="J201" s="3" t="e">
        <f>VLOOKUP(A201,LookupLists!$I$3:$L$60,3,FALSE)</f>
        <v>#N/A</v>
      </c>
      <c r="K201" s="3" t="e">
        <f>VLOOKUP(A201,LookupLists!$I$3:$L$60,4,FALSE)</f>
        <v>#N/A</v>
      </c>
      <c r="L201" s="3" t="e">
        <f>VLOOKUP(C201,LookupLists!$A$3:$G$60,1,FALSE)</f>
        <v>#N/A</v>
      </c>
      <c r="M201" s="3" t="e">
        <f>VLOOKUP(C201,LookupLists!$A$3:$G$60,4,FALSE)</f>
        <v>#N/A</v>
      </c>
      <c r="N201" s="3" t="e">
        <f>VLOOKUP(C201,LookupLists!$A$3:$G$60,2,FALSE)</f>
        <v>#N/A</v>
      </c>
      <c r="O201" s="3" t="e">
        <f>VLOOKUP(C201,LookupLists!$A$3:$G$60,3,FALSE)</f>
        <v>#N/A</v>
      </c>
      <c r="P201" s="3" t="e">
        <f>VLOOKUP(C201,LookupLists!$A$3:$G$60,5,FALSE)</f>
        <v>#N/A</v>
      </c>
      <c r="Q201" s="3" t="e">
        <f>VLOOKUP(C201,LookupLists!$A$3:$G$60,6,FALSE)</f>
        <v>#N/A</v>
      </c>
      <c r="R201" s="4" t="e">
        <f>VLOOKUP(C201,LookupLists!$A$3:$G$60,7,FALSE)</f>
        <v>#N/A</v>
      </c>
      <c r="S201" s="3" t="e">
        <f>VLOOKUP(D201,LookupLists!$N$4:$T$60,1,FALSE)</f>
        <v>#N/A</v>
      </c>
      <c r="T201" s="3" t="e">
        <f>VLOOKUP(D201,LookupLists!$N$4:$T$60,2,FALSE)</f>
        <v>#N/A</v>
      </c>
      <c r="U201" s="3" t="e">
        <f>VLOOKUP(D201,LookupLists!$N$4:$T$60,3,FALSE)</f>
        <v>#N/A</v>
      </c>
      <c r="V201" s="3" t="e">
        <f>VLOOKUP(D201,LookupLists!$N$4:$T$60,5,FALSE)</f>
        <v>#N/A</v>
      </c>
    </row>
    <row r="202" spans="5:22" x14ac:dyDescent="0.3">
      <c r="E202" s="3" t="str">
        <f t="shared" si="3"/>
        <v/>
      </c>
      <c r="F202" s="3" t="str">
        <f xml:space="preserve"> IF(E202="","",  IFERROR(VLOOKUP(D202,LookupLists!$N$3:$T$60,6,FALSE)-LEN(E202),0))</f>
        <v/>
      </c>
      <c r="G202" s="3" t="str">
        <f>IF(E202="","",IFERROR(matches(E202,VLOOKUP(D202,LookupLists!$N$3:$T$60,7,FALSE)),FALSE))</f>
        <v/>
      </c>
      <c r="H202" s="3" t="e">
        <f>VLOOKUP(A202,LookupLists!$I$3:$L$60,1,FALSE)</f>
        <v>#N/A</v>
      </c>
      <c r="I202" s="3" t="e">
        <f>VLOOKUP(A202,LookupLists!$I$3:$L$60,2,FALSE)</f>
        <v>#N/A</v>
      </c>
      <c r="J202" s="3" t="e">
        <f>VLOOKUP(A202,LookupLists!$I$3:$L$60,3,FALSE)</f>
        <v>#N/A</v>
      </c>
      <c r="K202" s="3" t="e">
        <f>VLOOKUP(A202,LookupLists!$I$3:$L$60,4,FALSE)</f>
        <v>#N/A</v>
      </c>
      <c r="L202" s="3" t="e">
        <f>VLOOKUP(C202,LookupLists!$A$3:$G$60,1,FALSE)</f>
        <v>#N/A</v>
      </c>
      <c r="M202" s="3" t="e">
        <f>VLOOKUP(C202,LookupLists!$A$3:$G$60,4,FALSE)</f>
        <v>#N/A</v>
      </c>
      <c r="N202" s="3" t="e">
        <f>VLOOKUP(C202,LookupLists!$A$3:$G$60,2,FALSE)</f>
        <v>#N/A</v>
      </c>
      <c r="O202" s="3" t="e">
        <f>VLOOKUP(C202,LookupLists!$A$3:$G$60,3,FALSE)</f>
        <v>#N/A</v>
      </c>
      <c r="P202" s="3" t="e">
        <f>VLOOKUP(C202,LookupLists!$A$3:$G$60,5,FALSE)</f>
        <v>#N/A</v>
      </c>
      <c r="Q202" s="3" t="e">
        <f>VLOOKUP(C202,LookupLists!$A$3:$G$60,6,FALSE)</f>
        <v>#N/A</v>
      </c>
      <c r="R202" s="4" t="e">
        <f>VLOOKUP(C202,LookupLists!$A$3:$G$60,7,FALSE)</f>
        <v>#N/A</v>
      </c>
      <c r="S202" s="3" t="e">
        <f>VLOOKUP(D202,LookupLists!$N$4:$T$60,1,FALSE)</f>
        <v>#N/A</v>
      </c>
      <c r="T202" s="3" t="e">
        <f>VLOOKUP(D202,LookupLists!$N$4:$T$60,2,FALSE)</f>
        <v>#N/A</v>
      </c>
      <c r="U202" s="3" t="e">
        <f>VLOOKUP(D202,LookupLists!$N$4:$T$60,3,FALSE)</f>
        <v>#N/A</v>
      </c>
      <c r="V202" s="3" t="e">
        <f>VLOOKUP(D202,LookupLists!$N$4:$T$60,5,FALSE)</f>
        <v>#N/A</v>
      </c>
    </row>
    <row r="203" spans="5:22" x14ac:dyDescent="0.3">
      <c r="E203" s="3" t="str">
        <f t="shared" si="3"/>
        <v/>
      </c>
      <c r="F203" s="3" t="str">
        <f xml:space="preserve"> IF(E203="","",  IFERROR(VLOOKUP(D203,LookupLists!$N$3:$T$60,6,FALSE)-LEN(E203),0))</f>
        <v/>
      </c>
      <c r="G203" s="3" t="str">
        <f>IF(E203="","",IFERROR(matches(E203,VLOOKUP(D203,LookupLists!$N$3:$T$60,7,FALSE)),FALSE))</f>
        <v/>
      </c>
      <c r="H203" s="3" t="e">
        <f>VLOOKUP(A203,LookupLists!$I$3:$L$60,1,FALSE)</f>
        <v>#N/A</v>
      </c>
      <c r="I203" s="3" t="e">
        <f>VLOOKUP(A203,LookupLists!$I$3:$L$60,2,FALSE)</f>
        <v>#N/A</v>
      </c>
      <c r="J203" s="3" t="e">
        <f>VLOOKUP(A203,LookupLists!$I$3:$L$60,3,FALSE)</f>
        <v>#N/A</v>
      </c>
      <c r="K203" s="3" t="e">
        <f>VLOOKUP(A203,LookupLists!$I$3:$L$60,4,FALSE)</f>
        <v>#N/A</v>
      </c>
      <c r="L203" s="3" t="e">
        <f>VLOOKUP(C203,LookupLists!$A$3:$G$60,1,FALSE)</f>
        <v>#N/A</v>
      </c>
      <c r="M203" s="3" t="e">
        <f>VLOOKUP(C203,LookupLists!$A$3:$G$60,4,FALSE)</f>
        <v>#N/A</v>
      </c>
      <c r="N203" s="3" t="e">
        <f>VLOOKUP(C203,LookupLists!$A$3:$G$60,2,FALSE)</f>
        <v>#N/A</v>
      </c>
      <c r="O203" s="3" t="e">
        <f>VLOOKUP(C203,LookupLists!$A$3:$G$60,3,FALSE)</f>
        <v>#N/A</v>
      </c>
      <c r="P203" s="3" t="e">
        <f>VLOOKUP(C203,LookupLists!$A$3:$G$60,5,FALSE)</f>
        <v>#N/A</v>
      </c>
      <c r="Q203" s="3" t="e">
        <f>VLOOKUP(C203,LookupLists!$A$3:$G$60,6,FALSE)</f>
        <v>#N/A</v>
      </c>
      <c r="R203" s="4" t="e">
        <f>VLOOKUP(C203,LookupLists!$A$3:$G$60,7,FALSE)</f>
        <v>#N/A</v>
      </c>
      <c r="S203" s="3" t="e">
        <f>VLOOKUP(D203,LookupLists!$N$4:$T$60,1,FALSE)</f>
        <v>#N/A</v>
      </c>
      <c r="T203" s="3" t="e">
        <f>VLOOKUP(D203,LookupLists!$N$4:$T$60,2,FALSE)</f>
        <v>#N/A</v>
      </c>
      <c r="U203" s="3" t="e">
        <f>VLOOKUP(D203,LookupLists!$N$4:$T$60,3,FALSE)</f>
        <v>#N/A</v>
      </c>
      <c r="V203" s="3" t="e">
        <f>VLOOKUP(D203,LookupLists!$N$4:$T$60,5,FALSE)</f>
        <v>#N/A</v>
      </c>
    </row>
    <row r="204" spans="5:22" x14ac:dyDescent="0.3">
      <c r="E204" s="3" t="str">
        <f t="shared" si="3"/>
        <v/>
      </c>
      <c r="F204" s="3" t="str">
        <f xml:space="preserve"> IF(E204="","",  IFERROR(VLOOKUP(D204,LookupLists!$N$3:$T$60,6,FALSE)-LEN(E204),0))</f>
        <v/>
      </c>
      <c r="G204" s="3" t="str">
        <f>IF(E204="","",IFERROR(matches(E204,VLOOKUP(D204,LookupLists!$N$3:$T$60,7,FALSE)),FALSE))</f>
        <v/>
      </c>
      <c r="H204" s="3" t="e">
        <f>VLOOKUP(A204,LookupLists!$I$3:$L$60,1,FALSE)</f>
        <v>#N/A</v>
      </c>
      <c r="I204" s="3" t="e">
        <f>VLOOKUP(A204,LookupLists!$I$3:$L$60,2,FALSE)</f>
        <v>#N/A</v>
      </c>
      <c r="J204" s="3" t="e">
        <f>VLOOKUP(A204,LookupLists!$I$3:$L$60,3,FALSE)</f>
        <v>#N/A</v>
      </c>
      <c r="K204" s="3" t="e">
        <f>VLOOKUP(A204,LookupLists!$I$3:$L$60,4,FALSE)</f>
        <v>#N/A</v>
      </c>
      <c r="L204" s="3" t="e">
        <f>VLOOKUP(C204,LookupLists!$A$3:$G$60,1,FALSE)</f>
        <v>#N/A</v>
      </c>
      <c r="M204" s="3" t="e">
        <f>VLOOKUP(C204,LookupLists!$A$3:$G$60,4,FALSE)</f>
        <v>#N/A</v>
      </c>
      <c r="N204" s="3" t="e">
        <f>VLOOKUP(C204,LookupLists!$A$3:$G$60,2,FALSE)</f>
        <v>#N/A</v>
      </c>
      <c r="O204" s="3" t="e">
        <f>VLOOKUP(C204,LookupLists!$A$3:$G$60,3,FALSE)</f>
        <v>#N/A</v>
      </c>
      <c r="P204" s="3" t="e">
        <f>VLOOKUP(C204,LookupLists!$A$3:$G$60,5,FALSE)</f>
        <v>#N/A</v>
      </c>
      <c r="Q204" s="3" t="e">
        <f>VLOOKUP(C204,LookupLists!$A$3:$G$60,6,FALSE)</f>
        <v>#N/A</v>
      </c>
      <c r="R204" s="4" t="e">
        <f>VLOOKUP(C204,LookupLists!$A$3:$G$60,7,FALSE)</f>
        <v>#N/A</v>
      </c>
      <c r="S204" s="3" t="e">
        <f>VLOOKUP(D204,LookupLists!$N$4:$T$60,1,FALSE)</f>
        <v>#N/A</v>
      </c>
      <c r="T204" s="3" t="e">
        <f>VLOOKUP(D204,LookupLists!$N$4:$T$60,2,FALSE)</f>
        <v>#N/A</v>
      </c>
      <c r="U204" s="3" t="e">
        <f>VLOOKUP(D204,LookupLists!$N$4:$T$60,3,FALSE)</f>
        <v>#N/A</v>
      </c>
      <c r="V204" s="3" t="e">
        <f>VLOOKUP(D204,LookupLists!$N$4:$T$60,5,FALSE)</f>
        <v>#N/A</v>
      </c>
    </row>
    <row r="205" spans="5:22" x14ac:dyDescent="0.3">
      <c r="E205" s="3" t="str">
        <f t="shared" si="3"/>
        <v/>
      </c>
      <c r="F205" s="3" t="str">
        <f xml:space="preserve"> IF(E205="","",  IFERROR(VLOOKUP(D205,LookupLists!$N$3:$T$60,6,FALSE)-LEN(E205),0))</f>
        <v/>
      </c>
      <c r="G205" s="3" t="str">
        <f>IF(E205="","",IFERROR(matches(E205,VLOOKUP(D205,LookupLists!$N$3:$T$60,7,FALSE)),FALSE))</f>
        <v/>
      </c>
      <c r="H205" s="3" t="e">
        <f>VLOOKUP(A205,LookupLists!$I$3:$L$60,1,FALSE)</f>
        <v>#N/A</v>
      </c>
      <c r="I205" s="3" t="e">
        <f>VLOOKUP(A205,LookupLists!$I$3:$L$60,2,FALSE)</f>
        <v>#N/A</v>
      </c>
      <c r="J205" s="3" t="e">
        <f>VLOOKUP(A205,LookupLists!$I$3:$L$60,3,FALSE)</f>
        <v>#N/A</v>
      </c>
      <c r="K205" s="3" t="e">
        <f>VLOOKUP(A205,LookupLists!$I$3:$L$60,4,FALSE)</f>
        <v>#N/A</v>
      </c>
      <c r="L205" s="3" t="e">
        <f>VLOOKUP(C205,LookupLists!$A$3:$G$60,1,FALSE)</f>
        <v>#N/A</v>
      </c>
      <c r="M205" s="3" t="e">
        <f>VLOOKUP(C205,LookupLists!$A$3:$G$60,4,FALSE)</f>
        <v>#N/A</v>
      </c>
      <c r="N205" s="3" t="e">
        <f>VLOOKUP(C205,LookupLists!$A$3:$G$60,2,FALSE)</f>
        <v>#N/A</v>
      </c>
      <c r="O205" s="3" t="e">
        <f>VLOOKUP(C205,LookupLists!$A$3:$G$60,3,FALSE)</f>
        <v>#N/A</v>
      </c>
      <c r="P205" s="3" t="e">
        <f>VLOOKUP(C205,LookupLists!$A$3:$G$60,5,FALSE)</f>
        <v>#N/A</v>
      </c>
      <c r="Q205" s="3" t="e">
        <f>VLOOKUP(C205,LookupLists!$A$3:$G$60,6,FALSE)</f>
        <v>#N/A</v>
      </c>
      <c r="R205" s="4" t="e">
        <f>VLOOKUP(C205,LookupLists!$A$3:$G$60,7,FALSE)</f>
        <v>#N/A</v>
      </c>
      <c r="S205" s="3" t="e">
        <f>VLOOKUP(D205,LookupLists!$N$4:$T$60,1,FALSE)</f>
        <v>#N/A</v>
      </c>
      <c r="T205" s="3" t="e">
        <f>VLOOKUP(D205,LookupLists!$N$4:$T$60,2,FALSE)</f>
        <v>#N/A</v>
      </c>
      <c r="U205" s="3" t="e">
        <f>VLOOKUP(D205,LookupLists!$N$4:$T$60,3,FALSE)</f>
        <v>#N/A</v>
      </c>
      <c r="V205" s="3" t="e">
        <f>VLOOKUP(D205,LookupLists!$N$4:$T$60,5,FALSE)</f>
        <v>#N/A</v>
      </c>
    </row>
    <row r="206" spans="5:22" x14ac:dyDescent="0.3">
      <c r="E206" s="3" t="str">
        <f t="shared" si="3"/>
        <v/>
      </c>
      <c r="F206" s="3" t="str">
        <f xml:space="preserve"> IF(E206="","",  IFERROR(VLOOKUP(D206,LookupLists!$N$3:$T$60,6,FALSE)-LEN(E206),0))</f>
        <v/>
      </c>
      <c r="G206" s="3" t="str">
        <f>IF(E206="","",IFERROR(matches(E206,VLOOKUP(D206,LookupLists!$N$3:$T$60,7,FALSE)),FALSE))</f>
        <v/>
      </c>
      <c r="H206" s="3" t="e">
        <f>VLOOKUP(A206,LookupLists!$I$3:$L$60,1,FALSE)</f>
        <v>#N/A</v>
      </c>
      <c r="I206" s="3" t="e">
        <f>VLOOKUP(A206,LookupLists!$I$3:$L$60,2,FALSE)</f>
        <v>#N/A</v>
      </c>
      <c r="J206" s="3" t="e">
        <f>VLOOKUP(A206,LookupLists!$I$3:$L$60,3,FALSE)</f>
        <v>#N/A</v>
      </c>
      <c r="K206" s="3" t="e">
        <f>VLOOKUP(A206,LookupLists!$I$3:$L$60,4,FALSE)</f>
        <v>#N/A</v>
      </c>
      <c r="L206" s="3" t="e">
        <f>VLOOKUP(C206,LookupLists!$A$3:$G$60,1,FALSE)</f>
        <v>#N/A</v>
      </c>
      <c r="M206" s="3" t="e">
        <f>VLOOKUP(C206,LookupLists!$A$3:$G$60,4,FALSE)</f>
        <v>#N/A</v>
      </c>
      <c r="N206" s="3" t="e">
        <f>VLOOKUP(C206,LookupLists!$A$3:$G$60,2,FALSE)</f>
        <v>#N/A</v>
      </c>
      <c r="O206" s="3" t="e">
        <f>VLOOKUP(C206,LookupLists!$A$3:$G$60,3,FALSE)</f>
        <v>#N/A</v>
      </c>
      <c r="P206" s="3" t="e">
        <f>VLOOKUP(C206,LookupLists!$A$3:$G$60,5,FALSE)</f>
        <v>#N/A</v>
      </c>
      <c r="Q206" s="3" t="e">
        <f>VLOOKUP(C206,LookupLists!$A$3:$G$60,6,FALSE)</f>
        <v>#N/A</v>
      </c>
      <c r="R206" s="4" t="e">
        <f>VLOOKUP(C206,LookupLists!$A$3:$G$60,7,FALSE)</f>
        <v>#N/A</v>
      </c>
      <c r="S206" s="3" t="e">
        <f>VLOOKUP(D206,LookupLists!$N$4:$T$60,1,FALSE)</f>
        <v>#N/A</v>
      </c>
      <c r="T206" s="3" t="e">
        <f>VLOOKUP(D206,LookupLists!$N$4:$T$60,2,FALSE)</f>
        <v>#N/A</v>
      </c>
      <c r="U206" s="3" t="e">
        <f>VLOOKUP(D206,LookupLists!$N$4:$T$60,3,FALSE)</f>
        <v>#N/A</v>
      </c>
      <c r="V206" s="3" t="e">
        <f>VLOOKUP(D206,LookupLists!$N$4:$T$60,5,FALSE)</f>
        <v>#N/A</v>
      </c>
    </row>
    <row r="207" spans="5:22" x14ac:dyDescent="0.3">
      <c r="E207" s="3" t="str">
        <f t="shared" si="3"/>
        <v/>
      </c>
      <c r="F207" s="3" t="str">
        <f xml:space="preserve"> IF(E207="","",  IFERROR(VLOOKUP(D207,LookupLists!$N$3:$T$60,6,FALSE)-LEN(E207),0))</f>
        <v/>
      </c>
      <c r="G207" s="3" t="str">
        <f>IF(E207="","",IFERROR(matches(E207,VLOOKUP(D207,LookupLists!$N$3:$T$60,7,FALSE)),FALSE))</f>
        <v/>
      </c>
      <c r="H207" s="3" t="e">
        <f>VLOOKUP(A207,LookupLists!$I$3:$L$60,1,FALSE)</f>
        <v>#N/A</v>
      </c>
      <c r="I207" s="3" t="e">
        <f>VLOOKUP(A207,LookupLists!$I$3:$L$60,2,FALSE)</f>
        <v>#N/A</v>
      </c>
      <c r="J207" s="3" t="e">
        <f>VLOOKUP(A207,LookupLists!$I$3:$L$60,3,FALSE)</f>
        <v>#N/A</v>
      </c>
      <c r="K207" s="3" t="e">
        <f>VLOOKUP(A207,LookupLists!$I$3:$L$60,4,FALSE)</f>
        <v>#N/A</v>
      </c>
      <c r="L207" s="3" t="e">
        <f>VLOOKUP(C207,LookupLists!$A$3:$G$60,1,FALSE)</f>
        <v>#N/A</v>
      </c>
      <c r="M207" s="3" t="e">
        <f>VLOOKUP(C207,LookupLists!$A$3:$G$60,4,FALSE)</f>
        <v>#N/A</v>
      </c>
      <c r="N207" s="3" t="e">
        <f>VLOOKUP(C207,LookupLists!$A$3:$G$60,2,FALSE)</f>
        <v>#N/A</v>
      </c>
      <c r="O207" s="3" t="e">
        <f>VLOOKUP(C207,LookupLists!$A$3:$G$60,3,FALSE)</f>
        <v>#N/A</v>
      </c>
      <c r="P207" s="3" t="e">
        <f>VLOOKUP(C207,LookupLists!$A$3:$G$60,5,FALSE)</f>
        <v>#N/A</v>
      </c>
      <c r="Q207" s="3" t="e">
        <f>VLOOKUP(C207,LookupLists!$A$3:$G$60,6,FALSE)</f>
        <v>#N/A</v>
      </c>
      <c r="R207" s="4" t="e">
        <f>VLOOKUP(C207,LookupLists!$A$3:$G$60,7,FALSE)</f>
        <v>#N/A</v>
      </c>
      <c r="S207" s="3" t="e">
        <f>VLOOKUP(D207,LookupLists!$N$4:$T$60,1,FALSE)</f>
        <v>#N/A</v>
      </c>
      <c r="T207" s="3" t="e">
        <f>VLOOKUP(D207,LookupLists!$N$4:$T$60,2,FALSE)</f>
        <v>#N/A</v>
      </c>
      <c r="U207" s="3" t="e">
        <f>VLOOKUP(D207,LookupLists!$N$4:$T$60,3,FALSE)</f>
        <v>#N/A</v>
      </c>
      <c r="V207" s="3" t="e">
        <f>VLOOKUP(D207,LookupLists!$N$4:$T$60,5,FALSE)</f>
        <v>#N/A</v>
      </c>
    </row>
    <row r="208" spans="5:22" x14ac:dyDescent="0.3">
      <c r="E208" s="3" t="str">
        <f t="shared" si="3"/>
        <v/>
      </c>
      <c r="F208" s="3" t="str">
        <f xml:space="preserve"> IF(E208="","",  IFERROR(VLOOKUP(D208,LookupLists!$N$3:$T$60,6,FALSE)-LEN(E208),0))</f>
        <v/>
      </c>
      <c r="G208" s="3" t="str">
        <f>IF(E208="","",IFERROR(matches(E208,VLOOKUP(D208,LookupLists!$N$3:$T$60,7,FALSE)),FALSE))</f>
        <v/>
      </c>
      <c r="H208" s="3" t="e">
        <f>VLOOKUP(A208,LookupLists!$I$3:$L$60,1,FALSE)</f>
        <v>#N/A</v>
      </c>
      <c r="I208" s="3" t="e">
        <f>VLOOKUP(A208,LookupLists!$I$3:$L$60,2,FALSE)</f>
        <v>#N/A</v>
      </c>
      <c r="J208" s="3" t="e">
        <f>VLOOKUP(A208,LookupLists!$I$3:$L$60,3,FALSE)</f>
        <v>#N/A</v>
      </c>
      <c r="K208" s="3" t="e">
        <f>VLOOKUP(A208,LookupLists!$I$3:$L$60,4,FALSE)</f>
        <v>#N/A</v>
      </c>
      <c r="L208" s="3" t="e">
        <f>VLOOKUP(C208,LookupLists!$A$3:$G$60,1,FALSE)</f>
        <v>#N/A</v>
      </c>
      <c r="M208" s="3" t="e">
        <f>VLOOKUP(C208,LookupLists!$A$3:$G$60,4,FALSE)</f>
        <v>#N/A</v>
      </c>
      <c r="N208" s="3" t="e">
        <f>VLOOKUP(C208,LookupLists!$A$3:$G$60,2,FALSE)</f>
        <v>#N/A</v>
      </c>
      <c r="O208" s="3" t="e">
        <f>VLOOKUP(C208,LookupLists!$A$3:$G$60,3,FALSE)</f>
        <v>#N/A</v>
      </c>
      <c r="P208" s="3" t="e">
        <f>VLOOKUP(C208,LookupLists!$A$3:$G$60,5,FALSE)</f>
        <v>#N/A</v>
      </c>
      <c r="Q208" s="3" t="e">
        <f>VLOOKUP(C208,LookupLists!$A$3:$G$60,6,FALSE)</f>
        <v>#N/A</v>
      </c>
      <c r="R208" s="4" t="e">
        <f>VLOOKUP(C208,LookupLists!$A$3:$G$60,7,FALSE)</f>
        <v>#N/A</v>
      </c>
      <c r="S208" s="3" t="e">
        <f>VLOOKUP(D208,LookupLists!$N$4:$T$60,1,FALSE)</f>
        <v>#N/A</v>
      </c>
      <c r="T208" s="3" t="e">
        <f>VLOOKUP(D208,LookupLists!$N$4:$T$60,2,FALSE)</f>
        <v>#N/A</v>
      </c>
      <c r="U208" s="3" t="e">
        <f>VLOOKUP(D208,LookupLists!$N$4:$T$60,3,FALSE)</f>
        <v>#N/A</v>
      </c>
      <c r="V208" s="3" t="e">
        <f>VLOOKUP(D208,LookupLists!$N$4:$T$60,5,FALSE)</f>
        <v>#N/A</v>
      </c>
    </row>
    <row r="209" spans="5:22" x14ac:dyDescent="0.3">
      <c r="E209" s="3" t="str">
        <f t="shared" si="3"/>
        <v/>
      </c>
      <c r="F209" s="3" t="str">
        <f xml:space="preserve"> IF(E209="","",  IFERROR(VLOOKUP(D209,LookupLists!$N$3:$T$60,6,FALSE)-LEN(E209),0))</f>
        <v/>
      </c>
      <c r="G209" s="3" t="str">
        <f>IF(E209="","",IFERROR(matches(E209,VLOOKUP(D209,LookupLists!$N$3:$T$60,7,FALSE)),FALSE))</f>
        <v/>
      </c>
      <c r="H209" s="3" t="e">
        <f>VLOOKUP(A209,LookupLists!$I$3:$L$60,1,FALSE)</f>
        <v>#N/A</v>
      </c>
      <c r="I209" s="3" t="e">
        <f>VLOOKUP(A209,LookupLists!$I$3:$L$60,2,FALSE)</f>
        <v>#N/A</v>
      </c>
      <c r="J209" s="3" t="e">
        <f>VLOOKUP(A209,LookupLists!$I$3:$L$60,3,FALSE)</f>
        <v>#N/A</v>
      </c>
      <c r="K209" s="3" t="e">
        <f>VLOOKUP(A209,LookupLists!$I$3:$L$60,4,FALSE)</f>
        <v>#N/A</v>
      </c>
      <c r="L209" s="3" t="e">
        <f>VLOOKUP(C209,LookupLists!$A$3:$G$60,1,FALSE)</f>
        <v>#N/A</v>
      </c>
      <c r="M209" s="3" t="e">
        <f>VLOOKUP(C209,LookupLists!$A$3:$G$60,4,FALSE)</f>
        <v>#N/A</v>
      </c>
      <c r="N209" s="3" t="e">
        <f>VLOOKUP(C209,LookupLists!$A$3:$G$60,2,FALSE)</f>
        <v>#N/A</v>
      </c>
      <c r="O209" s="3" t="e">
        <f>VLOOKUP(C209,LookupLists!$A$3:$G$60,3,FALSE)</f>
        <v>#N/A</v>
      </c>
      <c r="P209" s="3" t="e">
        <f>VLOOKUP(C209,LookupLists!$A$3:$G$60,5,FALSE)</f>
        <v>#N/A</v>
      </c>
      <c r="Q209" s="3" t="e">
        <f>VLOOKUP(C209,LookupLists!$A$3:$G$60,6,FALSE)</f>
        <v>#N/A</v>
      </c>
      <c r="R209" s="4" t="e">
        <f>VLOOKUP(C209,LookupLists!$A$3:$G$60,7,FALSE)</f>
        <v>#N/A</v>
      </c>
      <c r="S209" s="3" t="e">
        <f>VLOOKUP(D209,LookupLists!$N$4:$T$60,1,FALSE)</f>
        <v>#N/A</v>
      </c>
      <c r="T209" s="3" t="e">
        <f>VLOOKUP(D209,LookupLists!$N$4:$T$60,2,FALSE)</f>
        <v>#N/A</v>
      </c>
      <c r="U209" s="3" t="e">
        <f>VLOOKUP(D209,LookupLists!$N$4:$T$60,3,FALSE)</f>
        <v>#N/A</v>
      </c>
      <c r="V209" s="3" t="e">
        <f>VLOOKUP(D209,LookupLists!$N$4:$T$60,5,FALSE)</f>
        <v>#N/A</v>
      </c>
    </row>
    <row r="210" spans="5:22" x14ac:dyDescent="0.3">
      <c r="E210" s="3" t="str">
        <f t="shared" si="3"/>
        <v/>
      </c>
      <c r="F210" s="3" t="str">
        <f xml:space="preserve"> IF(E210="","",  IFERROR(VLOOKUP(D210,LookupLists!$N$3:$T$60,6,FALSE)-LEN(E210),0))</f>
        <v/>
      </c>
      <c r="G210" s="3" t="str">
        <f>IF(E210="","",IFERROR(matches(E210,VLOOKUP(D210,LookupLists!$N$3:$T$60,7,FALSE)),FALSE))</f>
        <v/>
      </c>
      <c r="H210" s="3" t="e">
        <f>VLOOKUP(A210,LookupLists!$I$3:$L$60,1,FALSE)</f>
        <v>#N/A</v>
      </c>
      <c r="I210" s="3" t="e">
        <f>VLOOKUP(A210,LookupLists!$I$3:$L$60,2,FALSE)</f>
        <v>#N/A</v>
      </c>
      <c r="J210" s="3" t="e">
        <f>VLOOKUP(A210,LookupLists!$I$3:$L$60,3,FALSE)</f>
        <v>#N/A</v>
      </c>
      <c r="K210" s="3" t="e">
        <f>VLOOKUP(A210,LookupLists!$I$3:$L$60,4,FALSE)</f>
        <v>#N/A</v>
      </c>
      <c r="L210" s="3" t="e">
        <f>VLOOKUP(C210,LookupLists!$A$3:$G$60,1,FALSE)</f>
        <v>#N/A</v>
      </c>
      <c r="M210" s="3" t="e">
        <f>VLOOKUP(C210,LookupLists!$A$3:$G$60,4,FALSE)</f>
        <v>#N/A</v>
      </c>
      <c r="N210" s="3" t="e">
        <f>VLOOKUP(C210,LookupLists!$A$3:$G$60,2,FALSE)</f>
        <v>#N/A</v>
      </c>
      <c r="O210" s="3" t="e">
        <f>VLOOKUP(C210,LookupLists!$A$3:$G$60,3,FALSE)</f>
        <v>#N/A</v>
      </c>
      <c r="P210" s="3" t="e">
        <f>VLOOKUP(C210,LookupLists!$A$3:$G$60,5,FALSE)</f>
        <v>#N/A</v>
      </c>
      <c r="Q210" s="3" t="e">
        <f>VLOOKUP(C210,LookupLists!$A$3:$G$60,6,FALSE)</f>
        <v>#N/A</v>
      </c>
      <c r="R210" s="4" t="e">
        <f>VLOOKUP(C210,LookupLists!$A$3:$G$60,7,FALSE)</f>
        <v>#N/A</v>
      </c>
      <c r="S210" s="3" t="e">
        <f>VLOOKUP(D210,LookupLists!$N$4:$T$60,1,FALSE)</f>
        <v>#N/A</v>
      </c>
      <c r="T210" s="3" t="e">
        <f>VLOOKUP(D210,LookupLists!$N$4:$T$60,2,FALSE)</f>
        <v>#N/A</v>
      </c>
      <c r="U210" s="3" t="e">
        <f>VLOOKUP(D210,LookupLists!$N$4:$T$60,3,FALSE)</f>
        <v>#N/A</v>
      </c>
      <c r="V210" s="3" t="e">
        <f>VLOOKUP(D210,LookupLists!$N$4:$T$60,5,FALSE)</f>
        <v>#N/A</v>
      </c>
    </row>
    <row r="211" spans="5:22" x14ac:dyDescent="0.3">
      <c r="E211" s="3" t="str">
        <f t="shared" si="3"/>
        <v/>
      </c>
      <c r="F211" s="3" t="str">
        <f xml:space="preserve"> IF(E211="","",  IFERROR(VLOOKUP(D211,LookupLists!$N$3:$T$60,6,FALSE)-LEN(E211),0))</f>
        <v/>
      </c>
      <c r="G211" s="3" t="str">
        <f>IF(E211="","",IFERROR(matches(E211,VLOOKUP(D211,LookupLists!$N$3:$T$60,7,FALSE)),FALSE))</f>
        <v/>
      </c>
      <c r="H211" s="3" t="e">
        <f>VLOOKUP(A211,LookupLists!$I$3:$L$60,1,FALSE)</f>
        <v>#N/A</v>
      </c>
      <c r="I211" s="3" t="e">
        <f>VLOOKUP(A211,LookupLists!$I$3:$L$60,2,FALSE)</f>
        <v>#N/A</v>
      </c>
      <c r="J211" s="3" t="e">
        <f>VLOOKUP(A211,LookupLists!$I$3:$L$60,3,FALSE)</f>
        <v>#N/A</v>
      </c>
      <c r="K211" s="3" t="e">
        <f>VLOOKUP(A211,LookupLists!$I$3:$L$60,4,FALSE)</f>
        <v>#N/A</v>
      </c>
      <c r="L211" s="3" t="e">
        <f>VLOOKUP(C211,LookupLists!$A$3:$G$60,1,FALSE)</f>
        <v>#N/A</v>
      </c>
      <c r="M211" s="3" t="e">
        <f>VLOOKUP(C211,LookupLists!$A$3:$G$60,4,FALSE)</f>
        <v>#N/A</v>
      </c>
      <c r="N211" s="3" t="e">
        <f>VLOOKUP(C211,LookupLists!$A$3:$G$60,2,FALSE)</f>
        <v>#N/A</v>
      </c>
      <c r="O211" s="3" t="e">
        <f>VLOOKUP(C211,LookupLists!$A$3:$G$60,3,FALSE)</f>
        <v>#N/A</v>
      </c>
      <c r="P211" s="3" t="e">
        <f>VLOOKUP(C211,LookupLists!$A$3:$G$60,5,FALSE)</f>
        <v>#N/A</v>
      </c>
      <c r="Q211" s="3" t="e">
        <f>VLOOKUP(C211,LookupLists!$A$3:$G$60,6,FALSE)</f>
        <v>#N/A</v>
      </c>
      <c r="R211" s="4" t="e">
        <f>VLOOKUP(C211,LookupLists!$A$3:$G$60,7,FALSE)</f>
        <v>#N/A</v>
      </c>
      <c r="S211" s="3" t="e">
        <f>VLOOKUP(D211,LookupLists!$N$4:$T$60,1,FALSE)</f>
        <v>#N/A</v>
      </c>
      <c r="T211" s="3" t="e">
        <f>VLOOKUP(D211,LookupLists!$N$4:$T$60,2,FALSE)</f>
        <v>#N/A</v>
      </c>
      <c r="U211" s="3" t="e">
        <f>VLOOKUP(D211,LookupLists!$N$4:$T$60,3,FALSE)</f>
        <v>#N/A</v>
      </c>
      <c r="V211" s="3" t="e">
        <f>VLOOKUP(D211,LookupLists!$N$4:$T$60,5,FALSE)</f>
        <v>#N/A</v>
      </c>
    </row>
    <row r="212" spans="5:22" x14ac:dyDescent="0.3">
      <c r="E212" s="3" t="str">
        <f t="shared" si="3"/>
        <v/>
      </c>
      <c r="F212" s="3" t="str">
        <f xml:space="preserve"> IF(E212="","",  IFERROR(VLOOKUP(D212,LookupLists!$N$3:$T$60,6,FALSE)-LEN(E212),0))</f>
        <v/>
      </c>
      <c r="G212" s="3" t="str">
        <f>IF(E212="","",IFERROR(matches(E212,VLOOKUP(D212,LookupLists!$N$3:$T$60,7,FALSE)),FALSE))</f>
        <v/>
      </c>
      <c r="H212" s="3" t="e">
        <f>VLOOKUP(A212,LookupLists!$I$3:$L$60,1,FALSE)</f>
        <v>#N/A</v>
      </c>
      <c r="I212" s="3" t="e">
        <f>VLOOKUP(A212,LookupLists!$I$3:$L$60,2,FALSE)</f>
        <v>#N/A</v>
      </c>
      <c r="J212" s="3" t="e">
        <f>VLOOKUP(A212,LookupLists!$I$3:$L$60,3,FALSE)</f>
        <v>#N/A</v>
      </c>
      <c r="K212" s="3" t="e">
        <f>VLOOKUP(A212,LookupLists!$I$3:$L$60,4,FALSE)</f>
        <v>#N/A</v>
      </c>
      <c r="L212" s="3" t="e">
        <f>VLOOKUP(C212,LookupLists!$A$3:$G$60,1,FALSE)</f>
        <v>#N/A</v>
      </c>
      <c r="M212" s="3" t="e">
        <f>VLOOKUP(C212,LookupLists!$A$3:$G$60,4,FALSE)</f>
        <v>#N/A</v>
      </c>
      <c r="N212" s="3" t="e">
        <f>VLOOKUP(C212,LookupLists!$A$3:$G$60,2,FALSE)</f>
        <v>#N/A</v>
      </c>
      <c r="O212" s="3" t="e">
        <f>VLOOKUP(C212,LookupLists!$A$3:$G$60,3,FALSE)</f>
        <v>#N/A</v>
      </c>
      <c r="P212" s="3" t="e">
        <f>VLOOKUP(C212,LookupLists!$A$3:$G$60,5,FALSE)</f>
        <v>#N/A</v>
      </c>
      <c r="Q212" s="3" t="e">
        <f>VLOOKUP(C212,LookupLists!$A$3:$G$60,6,FALSE)</f>
        <v>#N/A</v>
      </c>
      <c r="R212" s="4" t="e">
        <f>VLOOKUP(C212,LookupLists!$A$3:$G$60,7,FALSE)</f>
        <v>#N/A</v>
      </c>
      <c r="S212" s="3" t="e">
        <f>VLOOKUP(D212,LookupLists!$N$4:$T$60,1,FALSE)</f>
        <v>#N/A</v>
      </c>
      <c r="T212" s="3" t="e">
        <f>VLOOKUP(D212,LookupLists!$N$4:$T$60,2,FALSE)</f>
        <v>#N/A</v>
      </c>
      <c r="U212" s="3" t="e">
        <f>VLOOKUP(D212,LookupLists!$N$4:$T$60,3,FALSE)</f>
        <v>#N/A</v>
      </c>
      <c r="V212" s="3" t="e">
        <f>VLOOKUP(D212,LookupLists!$N$4:$T$60,5,FALSE)</f>
        <v>#N/A</v>
      </c>
    </row>
    <row r="213" spans="5:22" x14ac:dyDescent="0.3">
      <c r="E213" s="3" t="str">
        <f t="shared" si="3"/>
        <v/>
      </c>
      <c r="F213" s="3" t="str">
        <f xml:space="preserve"> IF(E213="","",  IFERROR(VLOOKUP(D213,LookupLists!$N$3:$T$60,6,FALSE)-LEN(E213),0))</f>
        <v/>
      </c>
      <c r="G213" s="3" t="str">
        <f>IF(E213="","",IFERROR(matches(E213,VLOOKUP(D213,LookupLists!$N$3:$T$60,7,FALSE)),FALSE))</f>
        <v/>
      </c>
      <c r="H213" s="3" t="e">
        <f>VLOOKUP(A213,LookupLists!$I$3:$L$60,1,FALSE)</f>
        <v>#N/A</v>
      </c>
      <c r="I213" s="3" t="e">
        <f>VLOOKUP(A213,LookupLists!$I$3:$L$60,2,FALSE)</f>
        <v>#N/A</v>
      </c>
      <c r="J213" s="3" t="e">
        <f>VLOOKUP(A213,LookupLists!$I$3:$L$60,3,FALSE)</f>
        <v>#N/A</v>
      </c>
      <c r="K213" s="3" t="e">
        <f>VLOOKUP(A213,LookupLists!$I$3:$L$60,4,FALSE)</f>
        <v>#N/A</v>
      </c>
      <c r="L213" s="3" t="e">
        <f>VLOOKUP(C213,LookupLists!$A$3:$G$60,1,FALSE)</f>
        <v>#N/A</v>
      </c>
      <c r="M213" s="3" t="e">
        <f>VLOOKUP(C213,LookupLists!$A$3:$G$60,4,FALSE)</f>
        <v>#N/A</v>
      </c>
      <c r="N213" s="3" t="e">
        <f>VLOOKUP(C213,LookupLists!$A$3:$G$60,2,FALSE)</f>
        <v>#N/A</v>
      </c>
      <c r="O213" s="3" t="e">
        <f>VLOOKUP(C213,LookupLists!$A$3:$G$60,3,FALSE)</f>
        <v>#N/A</v>
      </c>
      <c r="P213" s="3" t="e">
        <f>VLOOKUP(C213,LookupLists!$A$3:$G$60,5,FALSE)</f>
        <v>#N/A</v>
      </c>
      <c r="Q213" s="3" t="e">
        <f>VLOOKUP(C213,LookupLists!$A$3:$G$60,6,FALSE)</f>
        <v>#N/A</v>
      </c>
      <c r="R213" s="4" t="e">
        <f>VLOOKUP(C213,LookupLists!$A$3:$G$60,7,FALSE)</f>
        <v>#N/A</v>
      </c>
      <c r="S213" s="3" t="e">
        <f>VLOOKUP(D213,LookupLists!$N$4:$T$60,1,FALSE)</f>
        <v>#N/A</v>
      </c>
      <c r="T213" s="3" t="e">
        <f>VLOOKUP(D213,LookupLists!$N$4:$T$60,2,FALSE)</f>
        <v>#N/A</v>
      </c>
      <c r="U213" s="3" t="e">
        <f>VLOOKUP(D213,LookupLists!$N$4:$T$60,3,FALSE)</f>
        <v>#N/A</v>
      </c>
      <c r="V213" s="3" t="e">
        <f>VLOOKUP(D213,LookupLists!$N$4:$T$60,5,FALSE)</f>
        <v>#N/A</v>
      </c>
    </row>
    <row r="214" spans="5:22" x14ac:dyDescent="0.3">
      <c r="E214" s="3" t="str">
        <f t="shared" si="3"/>
        <v/>
      </c>
      <c r="F214" s="3" t="str">
        <f xml:space="preserve"> IF(E214="","",  IFERROR(VLOOKUP(D214,LookupLists!$N$3:$T$60,6,FALSE)-LEN(E214),0))</f>
        <v/>
      </c>
      <c r="G214" s="3" t="str">
        <f>IF(E214="","",IFERROR(matches(E214,VLOOKUP(D214,LookupLists!$N$3:$T$60,7,FALSE)),FALSE))</f>
        <v/>
      </c>
      <c r="H214" s="3" t="e">
        <f>VLOOKUP(A214,LookupLists!$I$3:$L$60,1,FALSE)</f>
        <v>#N/A</v>
      </c>
      <c r="I214" s="3" t="e">
        <f>VLOOKUP(A214,LookupLists!$I$3:$L$60,2,FALSE)</f>
        <v>#N/A</v>
      </c>
      <c r="J214" s="3" t="e">
        <f>VLOOKUP(A214,LookupLists!$I$3:$L$60,3,FALSE)</f>
        <v>#N/A</v>
      </c>
      <c r="K214" s="3" t="e">
        <f>VLOOKUP(A214,LookupLists!$I$3:$L$60,4,FALSE)</f>
        <v>#N/A</v>
      </c>
      <c r="L214" s="3" t="e">
        <f>VLOOKUP(C214,LookupLists!$A$3:$G$60,1,FALSE)</f>
        <v>#N/A</v>
      </c>
      <c r="M214" s="3" t="e">
        <f>VLOOKUP(C214,LookupLists!$A$3:$G$60,4,FALSE)</f>
        <v>#N/A</v>
      </c>
      <c r="N214" s="3" t="e">
        <f>VLOOKUP(C214,LookupLists!$A$3:$G$60,2,FALSE)</f>
        <v>#N/A</v>
      </c>
      <c r="O214" s="3" t="e">
        <f>VLOOKUP(C214,LookupLists!$A$3:$G$60,3,FALSE)</f>
        <v>#N/A</v>
      </c>
      <c r="P214" s="3" t="e">
        <f>VLOOKUP(C214,LookupLists!$A$3:$G$60,5,FALSE)</f>
        <v>#N/A</v>
      </c>
      <c r="Q214" s="3" t="e">
        <f>VLOOKUP(C214,LookupLists!$A$3:$G$60,6,FALSE)</f>
        <v>#N/A</v>
      </c>
      <c r="R214" s="4" t="e">
        <f>VLOOKUP(C214,LookupLists!$A$3:$G$60,7,FALSE)</f>
        <v>#N/A</v>
      </c>
      <c r="S214" s="3" t="e">
        <f>VLOOKUP(D214,LookupLists!$N$4:$T$60,1,FALSE)</f>
        <v>#N/A</v>
      </c>
      <c r="T214" s="3" t="e">
        <f>VLOOKUP(D214,LookupLists!$N$4:$T$60,2,FALSE)</f>
        <v>#N/A</v>
      </c>
      <c r="U214" s="3" t="e">
        <f>VLOOKUP(D214,LookupLists!$N$4:$T$60,3,FALSE)</f>
        <v>#N/A</v>
      </c>
      <c r="V214" s="3" t="e">
        <f>VLOOKUP(D214,LookupLists!$N$4:$T$60,5,FALSE)</f>
        <v>#N/A</v>
      </c>
    </row>
    <row r="215" spans="5:22" x14ac:dyDescent="0.3">
      <c r="E215" s="3" t="str">
        <f t="shared" si="3"/>
        <v/>
      </c>
      <c r="F215" s="3" t="str">
        <f xml:space="preserve"> IF(E215="","",  IFERROR(VLOOKUP(D215,LookupLists!$N$3:$T$60,6,FALSE)-LEN(E215),0))</f>
        <v/>
      </c>
      <c r="G215" s="3" t="str">
        <f>IF(E215="","",IFERROR(matches(E215,VLOOKUP(D215,LookupLists!$N$3:$T$60,7,FALSE)),FALSE))</f>
        <v/>
      </c>
      <c r="H215" s="3" t="e">
        <f>VLOOKUP(A215,LookupLists!$I$3:$L$60,1,FALSE)</f>
        <v>#N/A</v>
      </c>
      <c r="I215" s="3" t="e">
        <f>VLOOKUP(A215,LookupLists!$I$3:$L$60,2,FALSE)</f>
        <v>#N/A</v>
      </c>
      <c r="J215" s="3" t="e">
        <f>VLOOKUP(A215,LookupLists!$I$3:$L$60,3,FALSE)</f>
        <v>#N/A</v>
      </c>
      <c r="K215" s="3" t="e">
        <f>VLOOKUP(A215,LookupLists!$I$3:$L$60,4,FALSE)</f>
        <v>#N/A</v>
      </c>
      <c r="L215" s="3" t="e">
        <f>VLOOKUP(C215,LookupLists!$A$3:$G$60,1,FALSE)</f>
        <v>#N/A</v>
      </c>
      <c r="M215" s="3" t="e">
        <f>VLOOKUP(C215,LookupLists!$A$3:$G$60,4,FALSE)</f>
        <v>#N/A</v>
      </c>
      <c r="N215" s="3" t="e">
        <f>VLOOKUP(C215,LookupLists!$A$3:$G$60,2,FALSE)</f>
        <v>#N/A</v>
      </c>
      <c r="O215" s="3" t="e">
        <f>VLOOKUP(C215,LookupLists!$A$3:$G$60,3,FALSE)</f>
        <v>#N/A</v>
      </c>
      <c r="P215" s="3" t="e">
        <f>VLOOKUP(C215,LookupLists!$A$3:$G$60,5,FALSE)</f>
        <v>#N/A</v>
      </c>
      <c r="Q215" s="3" t="e">
        <f>VLOOKUP(C215,LookupLists!$A$3:$G$60,6,FALSE)</f>
        <v>#N/A</v>
      </c>
      <c r="R215" s="4" t="e">
        <f>VLOOKUP(C215,LookupLists!$A$3:$G$60,7,FALSE)</f>
        <v>#N/A</v>
      </c>
      <c r="S215" s="3" t="e">
        <f>VLOOKUP(D215,LookupLists!$N$4:$T$60,1,FALSE)</f>
        <v>#N/A</v>
      </c>
      <c r="T215" s="3" t="e">
        <f>VLOOKUP(D215,LookupLists!$N$4:$T$60,2,FALSE)</f>
        <v>#N/A</v>
      </c>
      <c r="U215" s="3" t="e">
        <f>VLOOKUP(D215,LookupLists!$N$4:$T$60,3,FALSE)</f>
        <v>#N/A</v>
      </c>
      <c r="V215" s="3" t="e">
        <f>VLOOKUP(D215,LookupLists!$N$4:$T$60,5,FALSE)</f>
        <v>#N/A</v>
      </c>
    </row>
    <row r="216" spans="5:22" x14ac:dyDescent="0.3">
      <c r="E216" s="3" t="str">
        <f t="shared" si="3"/>
        <v/>
      </c>
      <c r="F216" s="3" t="str">
        <f xml:space="preserve"> IF(E216="","",  IFERROR(VLOOKUP(D216,LookupLists!$N$3:$T$60,6,FALSE)-LEN(E216),0))</f>
        <v/>
      </c>
      <c r="G216" s="3" t="str">
        <f>IF(E216="","",IFERROR(matches(E216,VLOOKUP(D216,LookupLists!$N$3:$T$60,7,FALSE)),FALSE))</f>
        <v/>
      </c>
      <c r="H216" s="3" t="e">
        <f>VLOOKUP(A216,LookupLists!$I$3:$L$60,1,FALSE)</f>
        <v>#N/A</v>
      </c>
      <c r="I216" s="3" t="e">
        <f>VLOOKUP(A216,LookupLists!$I$3:$L$60,2,FALSE)</f>
        <v>#N/A</v>
      </c>
      <c r="J216" s="3" t="e">
        <f>VLOOKUP(A216,LookupLists!$I$3:$L$60,3,FALSE)</f>
        <v>#N/A</v>
      </c>
      <c r="K216" s="3" t="e">
        <f>VLOOKUP(A216,LookupLists!$I$3:$L$60,4,FALSE)</f>
        <v>#N/A</v>
      </c>
      <c r="L216" s="3" t="e">
        <f>VLOOKUP(C216,LookupLists!$A$3:$G$60,1,FALSE)</f>
        <v>#N/A</v>
      </c>
      <c r="M216" s="3" t="e">
        <f>VLOOKUP(C216,LookupLists!$A$3:$G$60,4,FALSE)</f>
        <v>#N/A</v>
      </c>
      <c r="N216" s="3" t="e">
        <f>VLOOKUP(C216,LookupLists!$A$3:$G$60,2,FALSE)</f>
        <v>#N/A</v>
      </c>
      <c r="O216" s="3" t="e">
        <f>VLOOKUP(C216,LookupLists!$A$3:$G$60,3,FALSE)</f>
        <v>#N/A</v>
      </c>
      <c r="P216" s="3" t="e">
        <f>VLOOKUP(C216,LookupLists!$A$3:$G$60,5,FALSE)</f>
        <v>#N/A</v>
      </c>
      <c r="Q216" s="3" t="e">
        <f>VLOOKUP(C216,LookupLists!$A$3:$G$60,6,FALSE)</f>
        <v>#N/A</v>
      </c>
      <c r="R216" s="4" t="e">
        <f>VLOOKUP(C216,LookupLists!$A$3:$G$60,7,FALSE)</f>
        <v>#N/A</v>
      </c>
      <c r="S216" s="3" t="e">
        <f>VLOOKUP(D216,LookupLists!$N$4:$T$60,1,FALSE)</f>
        <v>#N/A</v>
      </c>
      <c r="T216" s="3" t="e">
        <f>VLOOKUP(D216,LookupLists!$N$4:$T$60,2,FALSE)</f>
        <v>#N/A</v>
      </c>
      <c r="U216" s="3" t="e">
        <f>VLOOKUP(D216,LookupLists!$N$4:$T$60,3,FALSE)</f>
        <v>#N/A</v>
      </c>
      <c r="V216" s="3" t="e">
        <f>VLOOKUP(D216,LookupLists!$N$4:$T$60,5,FALSE)</f>
        <v>#N/A</v>
      </c>
    </row>
    <row r="217" spans="5:22" x14ac:dyDescent="0.3">
      <c r="E217" s="3" t="str">
        <f t="shared" si="3"/>
        <v/>
      </c>
      <c r="F217" s="3" t="str">
        <f xml:space="preserve"> IF(E217="","",  IFERROR(VLOOKUP(D217,LookupLists!$N$3:$T$60,6,FALSE)-LEN(E217),0))</f>
        <v/>
      </c>
      <c r="G217" s="3" t="str">
        <f>IF(E217="","",IFERROR(matches(E217,VLOOKUP(D217,LookupLists!$N$3:$T$60,7,FALSE)),FALSE))</f>
        <v/>
      </c>
      <c r="H217" s="3" t="e">
        <f>VLOOKUP(A217,LookupLists!$I$3:$L$60,1,FALSE)</f>
        <v>#N/A</v>
      </c>
      <c r="I217" s="3" t="e">
        <f>VLOOKUP(A217,LookupLists!$I$3:$L$60,2,FALSE)</f>
        <v>#N/A</v>
      </c>
      <c r="J217" s="3" t="e">
        <f>VLOOKUP(A217,LookupLists!$I$3:$L$60,3,FALSE)</f>
        <v>#N/A</v>
      </c>
      <c r="K217" s="3" t="e">
        <f>VLOOKUP(A217,LookupLists!$I$3:$L$60,4,FALSE)</f>
        <v>#N/A</v>
      </c>
      <c r="L217" s="3" t="e">
        <f>VLOOKUP(C217,LookupLists!$A$3:$G$60,1,FALSE)</f>
        <v>#N/A</v>
      </c>
      <c r="M217" s="3" t="e">
        <f>VLOOKUP(C217,LookupLists!$A$3:$G$60,4,FALSE)</f>
        <v>#N/A</v>
      </c>
      <c r="N217" s="3" t="e">
        <f>VLOOKUP(C217,LookupLists!$A$3:$G$60,2,FALSE)</f>
        <v>#N/A</v>
      </c>
      <c r="O217" s="3" t="e">
        <f>VLOOKUP(C217,LookupLists!$A$3:$G$60,3,FALSE)</f>
        <v>#N/A</v>
      </c>
      <c r="P217" s="3" t="e">
        <f>VLOOKUP(C217,LookupLists!$A$3:$G$60,5,FALSE)</f>
        <v>#N/A</v>
      </c>
      <c r="Q217" s="3" t="e">
        <f>VLOOKUP(C217,LookupLists!$A$3:$G$60,6,FALSE)</f>
        <v>#N/A</v>
      </c>
      <c r="R217" s="4" t="e">
        <f>VLOOKUP(C217,LookupLists!$A$3:$G$60,7,FALSE)</f>
        <v>#N/A</v>
      </c>
      <c r="S217" s="3" t="e">
        <f>VLOOKUP(D217,LookupLists!$N$4:$T$60,1,FALSE)</f>
        <v>#N/A</v>
      </c>
      <c r="T217" s="3" t="e">
        <f>VLOOKUP(D217,LookupLists!$N$4:$T$60,2,FALSE)</f>
        <v>#N/A</v>
      </c>
      <c r="U217" s="3" t="e">
        <f>VLOOKUP(D217,LookupLists!$N$4:$T$60,3,FALSE)</f>
        <v>#N/A</v>
      </c>
      <c r="V217" s="3" t="e">
        <f>VLOOKUP(D217,LookupLists!$N$4:$T$60,5,FALSE)</f>
        <v>#N/A</v>
      </c>
    </row>
    <row r="218" spans="5:22" x14ac:dyDescent="0.3">
      <c r="E218" s="3" t="str">
        <f t="shared" si="3"/>
        <v/>
      </c>
      <c r="F218" s="3" t="str">
        <f xml:space="preserve"> IF(E218="","",  IFERROR(VLOOKUP(D218,LookupLists!$N$3:$T$60,6,FALSE)-LEN(E218),0))</f>
        <v/>
      </c>
      <c r="G218" s="3" t="str">
        <f>IF(E218="","",IFERROR(matches(E218,VLOOKUP(D218,LookupLists!$N$3:$T$60,7,FALSE)),FALSE))</f>
        <v/>
      </c>
      <c r="H218" s="3" t="e">
        <f>VLOOKUP(A218,LookupLists!$I$3:$L$60,1,FALSE)</f>
        <v>#N/A</v>
      </c>
      <c r="I218" s="3" t="e">
        <f>VLOOKUP(A218,LookupLists!$I$3:$L$60,2,FALSE)</f>
        <v>#N/A</v>
      </c>
      <c r="J218" s="3" t="e">
        <f>VLOOKUP(A218,LookupLists!$I$3:$L$60,3,FALSE)</f>
        <v>#N/A</v>
      </c>
      <c r="K218" s="3" t="e">
        <f>VLOOKUP(A218,LookupLists!$I$3:$L$60,4,FALSE)</f>
        <v>#N/A</v>
      </c>
      <c r="L218" s="3" t="e">
        <f>VLOOKUP(C218,LookupLists!$A$3:$G$60,1,FALSE)</f>
        <v>#N/A</v>
      </c>
      <c r="M218" s="3" t="e">
        <f>VLOOKUP(C218,LookupLists!$A$3:$G$60,4,FALSE)</f>
        <v>#N/A</v>
      </c>
      <c r="N218" s="3" t="e">
        <f>VLOOKUP(C218,LookupLists!$A$3:$G$60,2,FALSE)</f>
        <v>#N/A</v>
      </c>
      <c r="O218" s="3" t="e">
        <f>VLOOKUP(C218,LookupLists!$A$3:$G$60,3,FALSE)</f>
        <v>#N/A</v>
      </c>
      <c r="P218" s="3" t="e">
        <f>VLOOKUP(C218,LookupLists!$A$3:$G$60,5,FALSE)</f>
        <v>#N/A</v>
      </c>
      <c r="Q218" s="3" t="e">
        <f>VLOOKUP(C218,LookupLists!$A$3:$G$60,6,FALSE)</f>
        <v>#N/A</v>
      </c>
      <c r="R218" s="4" t="e">
        <f>VLOOKUP(C218,LookupLists!$A$3:$G$60,7,FALSE)</f>
        <v>#N/A</v>
      </c>
      <c r="S218" s="3" t="e">
        <f>VLOOKUP(D218,LookupLists!$N$4:$T$60,1,FALSE)</f>
        <v>#N/A</v>
      </c>
      <c r="T218" s="3" t="e">
        <f>VLOOKUP(D218,LookupLists!$N$4:$T$60,2,FALSE)</f>
        <v>#N/A</v>
      </c>
      <c r="U218" s="3" t="e">
        <f>VLOOKUP(D218,LookupLists!$N$4:$T$60,3,FALSE)</f>
        <v>#N/A</v>
      </c>
      <c r="V218" s="3" t="e">
        <f>VLOOKUP(D218,LookupLists!$N$4:$T$60,5,FALSE)</f>
        <v>#N/A</v>
      </c>
    </row>
    <row r="219" spans="5:22" x14ac:dyDescent="0.3">
      <c r="E219" s="3" t="str">
        <f t="shared" si="3"/>
        <v/>
      </c>
      <c r="F219" s="3" t="str">
        <f xml:space="preserve"> IF(E219="","",  IFERROR(VLOOKUP(D219,LookupLists!$N$3:$T$60,6,FALSE)-LEN(E219),0))</f>
        <v/>
      </c>
      <c r="G219" s="3" t="str">
        <f>IF(E219="","",IFERROR(matches(E219,VLOOKUP(D219,LookupLists!$N$3:$T$60,7,FALSE)),FALSE))</f>
        <v/>
      </c>
      <c r="H219" s="3" t="e">
        <f>VLOOKUP(A219,LookupLists!$I$3:$L$60,1,FALSE)</f>
        <v>#N/A</v>
      </c>
      <c r="I219" s="3" t="e">
        <f>VLOOKUP(A219,LookupLists!$I$3:$L$60,2,FALSE)</f>
        <v>#N/A</v>
      </c>
      <c r="J219" s="3" t="e">
        <f>VLOOKUP(A219,LookupLists!$I$3:$L$60,3,FALSE)</f>
        <v>#N/A</v>
      </c>
      <c r="K219" s="3" t="e">
        <f>VLOOKUP(A219,LookupLists!$I$3:$L$60,4,FALSE)</f>
        <v>#N/A</v>
      </c>
      <c r="L219" s="3" t="e">
        <f>VLOOKUP(C219,LookupLists!$A$3:$G$60,1,FALSE)</f>
        <v>#N/A</v>
      </c>
      <c r="M219" s="3" t="e">
        <f>VLOOKUP(C219,LookupLists!$A$3:$G$60,4,FALSE)</f>
        <v>#N/A</v>
      </c>
      <c r="N219" s="3" t="e">
        <f>VLOOKUP(C219,LookupLists!$A$3:$G$60,2,FALSE)</f>
        <v>#N/A</v>
      </c>
      <c r="O219" s="3" t="e">
        <f>VLOOKUP(C219,LookupLists!$A$3:$G$60,3,FALSE)</f>
        <v>#N/A</v>
      </c>
      <c r="P219" s="3" t="e">
        <f>VLOOKUP(C219,LookupLists!$A$3:$G$60,5,FALSE)</f>
        <v>#N/A</v>
      </c>
      <c r="Q219" s="3" t="e">
        <f>VLOOKUP(C219,LookupLists!$A$3:$G$60,6,FALSE)</f>
        <v>#N/A</v>
      </c>
      <c r="R219" s="4" t="e">
        <f>VLOOKUP(C219,LookupLists!$A$3:$G$60,7,FALSE)</f>
        <v>#N/A</v>
      </c>
      <c r="S219" s="3" t="e">
        <f>VLOOKUP(D219,LookupLists!$N$4:$T$60,1,FALSE)</f>
        <v>#N/A</v>
      </c>
      <c r="T219" s="3" t="e">
        <f>VLOOKUP(D219,LookupLists!$N$4:$T$60,2,FALSE)</f>
        <v>#N/A</v>
      </c>
      <c r="U219" s="3" t="e">
        <f>VLOOKUP(D219,LookupLists!$N$4:$T$60,3,FALSE)</f>
        <v>#N/A</v>
      </c>
      <c r="V219" s="3" t="e">
        <f>VLOOKUP(D219,LookupLists!$N$4:$T$60,5,FALSE)</f>
        <v>#N/A</v>
      </c>
    </row>
    <row r="220" spans="5:22" x14ac:dyDescent="0.3">
      <c r="E220" s="3" t="str">
        <f t="shared" si="3"/>
        <v/>
      </c>
      <c r="F220" s="3" t="str">
        <f xml:space="preserve"> IF(E220="","",  IFERROR(VLOOKUP(D220,LookupLists!$N$3:$T$60,6,FALSE)-LEN(E220),0))</f>
        <v/>
      </c>
      <c r="G220" s="3" t="str">
        <f>IF(E220="","",IFERROR(matches(E220,VLOOKUP(D220,LookupLists!$N$3:$T$60,7,FALSE)),FALSE))</f>
        <v/>
      </c>
      <c r="H220" s="3" t="e">
        <f>VLOOKUP(A220,LookupLists!$I$3:$L$60,1,FALSE)</f>
        <v>#N/A</v>
      </c>
      <c r="I220" s="3" t="e">
        <f>VLOOKUP(A220,LookupLists!$I$3:$L$60,2,FALSE)</f>
        <v>#N/A</v>
      </c>
      <c r="J220" s="3" t="e">
        <f>VLOOKUP(A220,LookupLists!$I$3:$L$60,3,FALSE)</f>
        <v>#N/A</v>
      </c>
      <c r="K220" s="3" t="e">
        <f>VLOOKUP(A220,LookupLists!$I$3:$L$60,4,FALSE)</f>
        <v>#N/A</v>
      </c>
      <c r="L220" s="3" t="e">
        <f>VLOOKUP(C220,LookupLists!$A$3:$G$60,1,FALSE)</f>
        <v>#N/A</v>
      </c>
      <c r="M220" s="3" t="e">
        <f>VLOOKUP(C220,LookupLists!$A$3:$G$60,4,FALSE)</f>
        <v>#N/A</v>
      </c>
      <c r="N220" s="3" t="e">
        <f>VLOOKUP(C220,LookupLists!$A$3:$G$60,2,FALSE)</f>
        <v>#N/A</v>
      </c>
      <c r="O220" s="3" t="e">
        <f>VLOOKUP(C220,LookupLists!$A$3:$G$60,3,FALSE)</f>
        <v>#N/A</v>
      </c>
      <c r="P220" s="3" t="e">
        <f>VLOOKUP(C220,LookupLists!$A$3:$G$60,5,FALSE)</f>
        <v>#N/A</v>
      </c>
      <c r="Q220" s="3" t="e">
        <f>VLOOKUP(C220,LookupLists!$A$3:$G$60,6,FALSE)</f>
        <v>#N/A</v>
      </c>
      <c r="R220" s="4" t="e">
        <f>VLOOKUP(C220,LookupLists!$A$3:$G$60,7,FALSE)</f>
        <v>#N/A</v>
      </c>
      <c r="S220" s="3" t="e">
        <f>VLOOKUP(D220,LookupLists!$N$4:$T$60,1,FALSE)</f>
        <v>#N/A</v>
      </c>
      <c r="T220" s="3" t="e">
        <f>VLOOKUP(D220,LookupLists!$N$4:$T$60,2,FALSE)</f>
        <v>#N/A</v>
      </c>
      <c r="U220" s="3" t="e">
        <f>VLOOKUP(D220,LookupLists!$N$4:$T$60,3,FALSE)</f>
        <v>#N/A</v>
      </c>
      <c r="V220" s="3" t="e">
        <f>VLOOKUP(D220,LookupLists!$N$4:$T$60,5,FALSE)</f>
        <v>#N/A</v>
      </c>
    </row>
    <row r="221" spans="5:22" x14ac:dyDescent="0.3">
      <c r="E221" s="3" t="str">
        <f t="shared" si="3"/>
        <v/>
      </c>
      <c r="F221" s="3" t="str">
        <f xml:space="preserve"> IF(E221="","",  IFERROR(VLOOKUP(D221,LookupLists!$N$3:$T$60,6,FALSE)-LEN(E221),0))</f>
        <v/>
      </c>
      <c r="G221" s="3" t="str">
        <f>IF(E221="","",IFERROR(matches(E221,VLOOKUP(D221,LookupLists!$N$3:$T$60,7,FALSE)),FALSE))</f>
        <v/>
      </c>
      <c r="H221" s="3" t="e">
        <f>VLOOKUP(A221,LookupLists!$I$3:$L$60,1,FALSE)</f>
        <v>#N/A</v>
      </c>
      <c r="I221" s="3" t="e">
        <f>VLOOKUP(A221,LookupLists!$I$3:$L$60,2,FALSE)</f>
        <v>#N/A</v>
      </c>
      <c r="J221" s="3" t="e">
        <f>VLOOKUP(A221,LookupLists!$I$3:$L$60,3,FALSE)</f>
        <v>#N/A</v>
      </c>
      <c r="K221" s="3" t="e">
        <f>VLOOKUP(A221,LookupLists!$I$3:$L$60,4,FALSE)</f>
        <v>#N/A</v>
      </c>
      <c r="L221" s="3" t="e">
        <f>VLOOKUP(C221,LookupLists!$A$3:$G$60,1,FALSE)</f>
        <v>#N/A</v>
      </c>
      <c r="M221" s="3" t="e">
        <f>VLOOKUP(C221,LookupLists!$A$3:$G$60,4,FALSE)</f>
        <v>#N/A</v>
      </c>
      <c r="N221" s="3" t="e">
        <f>VLOOKUP(C221,LookupLists!$A$3:$G$60,2,FALSE)</f>
        <v>#N/A</v>
      </c>
      <c r="O221" s="3" t="e">
        <f>VLOOKUP(C221,LookupLists!$A$3:$G$60,3,FALSE)</f>
        <v>#N/A</v>
      </c>
      <c r="P221" s="3" t="e">
        <f>VLOOKUP(C221,LookupLists!$A$3:$G$60,5,FALSE)</f>
        <v>#N/A</v>
      </c>
      <c r="Q221" s="3" t="e">
        <f>VLOOKUP(C221,LookupLists!$A$3:$G$60,6,FALSE)</f>
        <v>#N/A</v>
      </c>
      <c r="R221" s="4" t="e">
        <f>VLOOKUP(C221,LookupLists!$A$3:$G$60,7,FALSE)</f>
        <v>#N/A</v>
      </c>
      <c r="S221" s="3" t="e">
        <f>VLOOKUP(D221,LookupLists!$N$4:$T$60,1,FALSE)</f>
        <v>#N/A</v>
      </c>
      <c r="T221" s="3" t="e">
        <f>VLOOKUP(D221,LookupLists!$N$4:$T$60,2,FALSE)</f>
        <v>#N/A</v>
      </c>
      <c r="U221" s="3" t="e">
        <f>VLOOKUP(D221,LookupLists!$N$4:$T$60,3,FALSE)</f>
        <v>#N/A</v>
      </c>
      <c r="V221" s="3" t="e">
        <f>VLOOKUP(D221,LookupLists!$N$4:$T$60,5,FALSE)</f>
        <v>#N/A</v>
      </c>
    </row>
    <row r="222" spans="5:22" x14ac:dyDescent="0.3">
      <c r="E222" s="3" t="str">
        <f t="shared" si="3"/>
        <v/>
      </c>
      <c r="F222" s="3" t="str">
        <f xml:space="preserve"> IF(E222="","",  IFERROR(VLOOKUP(D222,LookupLists!$N$3:$T$60,6,FALSE)-LEN(E222),0))</f>
        <v/>
      </c>
      <c r="G222" s="3" t="str">
        <f>IF(E222="","",IFERROR(matches(E222,VLOOKUP(D222,LookupLists!$N$3:$T$60,7,FALSE)),FALSE))</f>
        <v/>
      </c>
      <c r="H222" s="3" t="e">
        <f>VLOOKUP(A222,LookupLists!$I$3:$L$60,1,FALSE)</f>
        <v>#N/A</v>
      </c>
      <c r="I222" s="3" t="e">
        <f>VLOOKUP(A222,LookupLists!$I$3:$L$60,2,FALSE)</f>
        <v>#N/A</v>
      </c>
      <c r="J222" s="3" t="e">
        <f>VLOOKUP(A222,LookupLists!$I$3:$L$60,3,FALSE)</f>
        <v>#N/A</v>
      </c>
      <c r="K222" s="3" t="e">
        <f>VLOOKUP(A222,LookupLists!$I$3:$L$60,4,FALSE)</f>
        <v>#N/A</v>
      </c>
      <c r="L222" s="3" t="e">
        <f>VLOOKUP(C222,LookupLists!$A$3:$G$60,1,FALSE)</f>
        <v>#N/A</v>
      </c>
      <c r="M222" s="3" t="e">
        <f>VLOOKUP(C222,LookupLists!$A$3:$G$60,4,FALSE)</f>
        <v>#N/A</v>
      </c>
      <c r="N222" s="3" t="e">
        <f>VLOOKUP(C222,LookupLists!$A$3:$G$60,2,FALSE)</f>
        <v>#N/A</v>
      </c>
      <c r="O222" s="3" t="e">
        <f>VLOOKUP(C222,LookupLists!$A$3:$G$60,3,FALSE)</f>
        <v>#N/A</v>
      </c>
      <c r="P222" s="3" t="e">
        <f>VLOOKUP(C222,LookupLists!$A$3:$G$60,5,FALSE)</f>
        <v>#N/A</v>
      </c>
      <c r="Q222" s="3" t="e">
        <f>VLOOKUP(C222,LookupLists!$A$3:$G$60,6,FALSE)</f>
        <v>#N/A</v>
      </c>
      <c r="R222" s="4" t="e">
        <f>VLOOKUP(C222,LookupLists!$A$3:$G$60,7,FALSE)</f>
        <v>#N/A</v>
      </c>
      <c r="S222" s="3" t="e">
        <f>VLOOKUP(D222,LookupLists!$N$4:$T$60,1,FALSE)</f>
        <v>#N/A</v>
      </c>
      <c r="T222" s="3" t="e">
        <f>VLOOKUP(D222,LookupLists!$N$4:$T$60,2,FALSE)</f>
        <v>#N/A</v>
      </c>
      <c r="U222" s="3" t="e">
        <f>VLOOKUP(D222,LookupLists!$N$4:$T$60,3,FALSE)</f>
        <v>#N/A</v>
      </c>
      <c r="V222" s="3" t="e">
        <f>VLOOKUP(D222,LookupLists!$N$4:$T$60,5,FALSE)</f>
        <v>#N/A</v>
      </c>
    </row>
    <row r="223" spans="5:22" x14ac:dyDescent="0.3">
      <c r="E223" s="3" t="str">
        <f t="shared" si="3"/>
        <v/>
      </c>
      <c r="F223" s="3" t="str">
        <f xml:space="preserve"> IF(E223="","",  IFERROR(VLOOKUP(D223,LookupLists!$N$3:$T$60,6,FALSE)-LEN(E223),0))</f>
        <v/>
      </c>
      <c r="G223" s="3" t="str">
        <f>IF(E223="","",IFERROR(matches(E223,VLOOKUP(D223,LookupLists!$N$3:$T$60,7,FALSE)),FALSE))</f>
        <v/>
      </c>
      <c r="H223" s="3" t="e">
        <f>VLOOKUP(A223,LookupLists!$I$3:$L$60,1,FALSE)</f>
        <v>#N/A</v>
      </c>
      <c r="I223" s="3" t="e">
        <f>VLOOKUP(A223,LookupLists!$I$3:$L$60,2,FALSE)</f>
        <v>#N/A</v>
      </c>
      <c r="J223" s="3" t="e">
        <f>VLOOKUP(A223,LookupLists!$I$3:$L$60,3,FALSE)</f>
        <v>#N/A</v>
      </c>
      <c r="K223" s="3" t="e">
        <f>VLOOKUP(A223,LookupLists!$I$3:$L$60,4,FALSE)</f>
        <v>#N/A</v>
      </c>
      <c r="L223" s="3" t="e">
        <f>VLOOKUP(C223,LookupLists!$A$3:$G$60,1,FALSE)</f>
        <v>#N/A</v>
      </c>
      <c r="M223" s="3" t="e">
        <f>VLOOKUP(C223,LookupLists!$A$3:$G$60,4,FALSE)</f>
        <v>#N/A</v>
      </c>
      <c r="N223" s="3" t="e">
        <f>VLOOKUP(C223,LookupLists!$A$3:$G$60,2,FALSE)</f>
        <v>#N/A</v>
      </c>
      <c r="O223" s="3" t="e">
        <f>VLOOKUP(C223,LookupLists!$A$3:$G$60,3,FALSE)</f>
        <v>#N/A</v>
      </c>
      <c r="P223" s="3" t="e">
        <f>VLOOKUP(C223,LookupLists!$A$3:$G$60,5,FALSE)</f>
        <v>#N/A</v>
      </c>
      <c r="Q223" s="3" t="e">
        <f>VLOOKUP(C223,LookupLists!$A$3:$G$60,6,FALSE)</f>
        <v>#N/A</v>
      </c>
      <c r="R223" s="4" t="e">
        <f>VLOOKUP(C223,LookupLists!$A$3:$G$60,7,FALSE)</f>
        <v>#N/A</v>
      </c>
      <c r="S223" s="3" t="e">
        <f>VLOOKUP(D223,LookupLists!$N$4:$T$60,1,FALSE)</f>
        <v>#N/A</v>
      </c>
      <c r="T223" s="3" t="e">
        <f>VLOOKUP(D223,LookupLists!$N$4:$T$60,2,FALSE)</f>
        <v>#N/A</v>
      </c>
      <c r="U223" s="3" t="e">
        <f>VLOOKUP(D223,LookupLists!$N$4:$T$60,3,FALSE)</f>
        <v>#N/A</v>
      </c>
      <c r="V223" s="3" t="e">
        <f>VLOOKUP(D223,LookupLists!$N$4:$T$60,5,FALSE)</f>
        <v>#N/A</v>
      </c>
    </row>
    <row r="224" spans="5:22" x14ac:dyDescent="0.3">
      <c r="E224" s="3" t="str">
        <f t="shared" si="3"/>
        <v/>
      </c>
      <c r="F224" s="3" t="str">
        <f xml:space="preserve"> IF(E224="","",  IFERROR(VLOOKUP(D224,LookupLists!$N$3:$T$60,6,FALSE)-LEN(E224),0))</f>
        <v/>
      </c>
      <c r="G224" s="3" t="str">
        <f>IF(E224="","",IFERROR(matches(E224,VLOOKUP(D224,LookupLists!$N$3:$T$60,7,FALSE)),FALSE))</f>
        <v/>
      </c>
      <c r="H224" s="3" t="e">
        <f>VLOOKUP(A224,LookupLists!$I$3:$L$60,1,FALSE)</f>
        <v>#N/A</v>
      </c>
      <c r="I224" s="3" t="e">
        <f>VLOOKUP(A224,LookupLists!$I$3:$L$60,2,FALSE)</f>
        <v>#N/A</v>
      </c>
      <c r="J224" s="3" t="e">
        <f>VLOOKUP(A224,LookupLists!$I$3:$L$60,3,FALSE)</f>
        <v>#N/A</v>
      </c>
      <c r="K224" s="3" t="e">
        <f>VLOOKUP(A224,LookupLists!$I$3:$L$60,4,FALSE)</f>
        <v>#N/A</v>
      </c>
      <c r="L224" s="3" t="e">
        <f>VLOOKUP(C224,LookupLists!$A$3:$G$60,1,FALSE)</f>
        <v>#N/A</v>
      </c>
      <c r="M224" s="3" t="e">
        <f>VLOOKUP(C224,LookupLists!$A$3:$G$60,4,FALSE)</f>
        <v>#N/A</v>
      </c>
      <c r="N224" s="3" t="e">
        <f>VLOOKUP(C224,LookupLists!$A$3:$G$60,2,FALSE)</f>
        <v>#N/A</v>
      </c>
      <c r="O224" s="3" t="e">
        <f>VLOOKUP(C224,LookupLists!$A$3:$G$60,3,FALSE)</f>
        <v>#N/A</v>
      </c>
      <c r="P224" s="3" t="e">
        <f>VLOOKUP(C224,LookupLists!$A$3:$G$60,5,FALSE)</f>
        <v>#N/A</v>
      </c>
      <c r="Q224" s="3" t="e">
        <f>VLOOKUP(C224,LookupLists!$A$3:$G$60,6,FALSE)</f>
        <v>#N/A</v>
      </c>
      <c r="R224" s="4" t="e">
        <f>VLOOKUP(C224,LookupLists!$A$3:$G$60,7,FALSE)</f>
        <v>#N/A</v>
      </c>
      <c r="S224" s="3" t="e">
        <f>VLOOKUP(D224,LookupLists!$N$4:$T$60,1,FALSE)</f>
        <v>#N/A</v>
      </c>
      <c r="T224" s="3" t="e">
        <f>VLOOKUP(D224,LookupLists!$N$4:$T$60,2,FALSE)</f>
        <v>#N/A</v>
      </c>
      <c r="U224" s="3" t="e">
        <f>VLOOKUP(D224,LookupLists!$N$4:$T$60,3,FALSE)</f>
        <v>#N/A</v>
      </c>
      <c r="V224" s="3" t="e">
        <f>VLOOKUP(D224,LookupLists!$N$4:$T$60,5,FALSE)</f>
        <v>#N/A</v>
      </c>
    </row>
    <row r="225" spans="5:22" x14ac:dyDescent="0.3">
      <c r="E225" s="3" t="str">
        <f t="shared" si="3"/>
        <v/>
      </c>
      <c r="F225" s="3" t="str">
        <f xml:space="preserve"> IF(E225="","",  IFERROR(VLOOKUP(D225,LookupLists!$N$3:$T$60,6,FALSE)-LEN(E225),0))</f>
        <v/>
      </c>
      <c r="G225" s="3" t="str">
        <f>IF(E225="","",IFERROR(matches(E225,VLOOKUP(D225,LookupLists!$N$3:$T$60,7,FALSE)),FALSE))</f>
        <v/>
      </c>
      <c r="H225" s="3" t="e">
        <f>VLOOKUP(A225,LookupLists!$I$3:$L$60,1,FALSE)</f>
        <v>#N/A</v>
      </c>
      <c r="I225" s="3" t="e">
        <f>VLOOKUP(A225,LookupLists!$I$3:$L$60,2,FALSE)</f>
        <v>#N/A</v>
      </c>
      <c r="J225" s="3" t="e">
        <f>VLOOKUP(A225,LookupLists!$I$3:$L$60,3,FALSE)</f>
        <v>#N/A</v>
      </c>
      <c r="K225" s="3" t="e">
        <f>VLOOKUP(A225,LookupLists!$I$3:$L$60,4,FALSE)</f>
        <v>#N/A</v>
      </c>
      <c r="L225" s="3" t="e">
        <f>VLOOKUP(C225,LookupLists!$A$3:$G$60,1,FALSE)</f>
        <v>#N/A</v>
      </c>
      <c r="M225" s="3" t="e">
        <f>VLOOKUP(C225,LookupLists!$A$3:$G$60,4,FALSE)</f>
        <v>#N/A</v>
      </c>
      <c r="N225" s="3" t="e">
        <f>VLOOKUP(C225,LookupLists!$A$3:$G$60,2,FALSE)</f>
        <v>#N/A</v>
      </c>
      <c r="O225" s="3" t="e">
        <f>VLOOKUP(C225,LookupLists!$A$3:$G$60,3,FALSE)</f>
        <v>#N/A</v>
      </c>
      <c r="P225" s="3" t="e">
        <f>VLOOKUP(C225,LookupLists!$A$3:$G$60,5,FALSE)</f>
        <v>#N/A</v>
      </c>
      <c r="Q225" s="3" t="e">
        <f>VLOOKUP(C225,LookupLists!$A$3:$G$60,6,FALSE)</f>
        <v>#N/A</v>
      </c>
      <c r="R225" s="4" t="e">
        <f>VLOOKUP(C225,LookupLists!$A$3:$G$60,7,FALSE)</f>
        <v>#N/A</v>
      </c>
      <c r="S225" s="3" t="e">
        <f>VLOOKUP(D225,LookupLists!$N$4:$T$60,1,FALSE)</f>
        <v>#N/A</v>
      </c>
      <c r="T225" s="3" t="e">
        <f>VLOOKUP(D225,LookupLists!$N$4:$T$60,2,FALSE)</f>
        <v>#N/A</v>
      </c>
      <c r="U225" s="3" t="e">
        <f>VLOOKUP(D225,LookupLists!$N$4:$T$60,3,FALSE)</f>
        <v>#N/A</v>
      </c>
      <c r="V225" s="3" t="e">
        <f>VLOOKUP(D225,LookupLists!$N$4:$T$60,5,FALSE)</f>
        <v>#N/A</v>
      </c>
    </row>
    <row r="226" spans="5:22" x14ac:dyDescent="0.3">
      <c r="E226" s="3" t="str">
        <f t="shared" si="3"/>
        <v/>
      </c>
      <c r="F226" s="3" t="str">
        <f xml:space="preserve"> IF(E226="","",  IFERROR(VLOOKUP(D226,LookupLists!$N$3:$T$60,6,FALSE)-LEN(E226),0))</f>
        <v/>
      </c>
      <c r="G226" s="3" t="str">
        <f>IF(E226="","",IFERROR(matches(E226,VLOOKUP(D226,LookupLists!$N$3:$T$60,7,FALSE)),FALSE))</f>
        <v/>
      </c>
      <c r="H226" s="3" t="e">
        <f>VLOOKUP(A226,LookupLists!$I$3:$L$60,1,FALSE)</f>
        <v>#N/A</v>
      </c>
      <c r="I226" s="3" t="e">
        <f>VLOOKUP(A226,LookupLists!$I$3:$L$60,2,FALSE)</f>
        <v>#N/A</v>
      </c>
      <c r="J226" s="3" t="e">
        <f>VLOOKUP(A226,LookupLists!$I$3:$L$60,3,FALSE)</f>
        <v>#N/A</v>
      </c>
      <c r="K226" s="3" t="e">
        <f>VLOOKUP(A226,LookupLists!$I$3:$L$60,4,FALSE)</f>
        <v>#N/A</v>
      </c>
      <c r="L226" s="3" t="e">
        <f>VLOOKUP(C226,LookupLists!$A$3:$G$60,1,FALSE)</f>
        <v>#N/A</v>
      </c>
      <c r="M226" s="3" t="e">
        <f>VLOOKUP(C226,LookupLists!$A$3:$G$60,4,FALSE)</f>
        <v>#N/A</v>
      </c>
      <c r="N226" s="3" t="e">
        <f>VLOOKUP(C226,LookupLists!$A$3:$G$60,2,FALSE)</f>
        <v>#N/A</v>
      </c>
      <c r="O226" s="3" t="e">
        <f>VLOOKUP(C226,LookupLists!$A$3:$G$60,3,FALSE)</f>
        <v>#N/A</v>
      </c>
      <c r="P226" s="3" t="e">
        <f>VLOOKUP(C226,LookupLists!$A$3:$G$60,5,FALSE)</f>
        <v>#N/A</v>
      </c>
      <c r="Q226" s="3" t="e">
        <f>VLOOKUP(C226,LookupLists!$A$3:$G$60,6,FALSE)</f>
        <v>#N/A</v>
      </c>
      <c r="R226" s="4" t="e">
        <f>VLOOKUP(C226,LookupLists!$A$3:$G$60,7,FALSE)</f>
        <v>#N/A</v>
      </c>
      <c r="S226" s="3" t="e">
        <f>VLOOKUP(D226,LookupLists!$N$4:$T$60,1,FALSE)</f>
        <v>#N/A</v>
      </c>
      <c r="T226" s="3" t="e">
        <f>VLOOKUP(D226,LookupLists!$N$4:$T$60,2,FALSE)</f>
        <v>#N/A</v>
      </c>
      <c r="U226" s="3" t="e">
        <f>VLOOKUP(D226,LookupLists!$N$4:$T$60,3,FALSE)</f>
        <v>#N/A</v>
      </c>
      <c r="V226" s="3" t="e">
        <f>VLOOKUP(D226,LookupLists!$N$4:$T$60,5,FALSE)</f>
        <v>#N/A</v>
      </c>
    </row>
    <row r="227" spans="5:22" x14ac:dyDescent="0.3">
      <c r="E227" s="3" t="str">
        <f t="shared" si="3"/>
        <v/>
      </c>
      <c r="F227" s="3" t="str">
        <f xml:space="preserve"> IF(E227="","",  IFERROR(VLOOKUP(D227,LookupLists!$N$3:$T$60,6,FALSE)-LEN(E227),0))</f>
        <v/>
      </c>
      <c r="G227" s="3" t="str">
        <f>IF(E227="","",IFERROR(matches(E227,VLOOKUP(D227,LookupLists!$N$3:$T$60,7,FALSE)),FALSE))</f>
        <v/>
      </c>
      <c r="H227" s="3" t="e">
        <f>VLOOKUP(A227,LookupLists!$I$3:$L$60,1,FALSE)</f>
        <v>#N/A</v>
      </c>
      <c r="I227" s="3" t="e">
        <f>VLOOKUP(A227,LookupLists!$I$3:$L$60,2,FALSE)</f>
        <v>#N/A</v>
      </c>
      <c r="J227" s="3" t="e">
        <f>VLOOKUP(A227,LookupLists!$I$3:$L$60,3,FALSE)</f>
        <v>#N/A</v>
      </c>
      <c r="K227" s="3" t="e">
        <f>VLOOKUP(A227,LookupLists!$I$3:$L$60,4,FALSE)</f>
        <v>#N/A</v>
      </c>
      <c r="L227" s="3" t="e">
        <f>VLOOKUP(C227,LookupLists!$A$3:$G$60,1,FALSE)</f>
        <v>#N/A</v>
      </c>
      <c r="M227" s="3" t="e">
        <f>VLOOKUP(C227,LookupLists!$A$3:$G$60,4,FALSE)</f>
        <v>#N/A</v>
      </c>
      <c r="N227" s="3" t="e">
        <f>VLOOKUP(C227,LookupLists!$A$3:$G$60,2,FALSE)</f>
        <v>#N/A</v>
      </c>
      <c r="O227" s="3" t="e">
        <f>VLOOKUP(C227,LookupLists!$A$3:$G$60,3,FALSE)</f>
        <v>#N/A</v>
      </c>
      <c r="P227" s="3" t="e">
        <f>VLOOKUP(C227,LookupLists!$A$3:$G$60,5,FALSE)</f>
        <v>#N/A</v>
      </c>
      <c r="Q227" s="3" t="e">
        <f>VLOOKUP(C227,LookupLists!$A$3:$G$60,6,FALSE)</f>
        <v>#N/A</v>
      </c>
      <c r="R227" s="4" t="e">
        <f>VLOOKUP(C227,LookupLists!$A$3:$G$60,7,FALSE)</f>
        <v>#N/A</v>
      </c>
      <c r="S227" s="3" t="e">
        <f>VLOOKUP(D227,LookupLists!$N$4:$T$60,1,FALSE)</f>
        <v>#N/A</v>
      </c>
      <c r="T227" s="3" t="e">
        <f>VLOOKUP(D227,LookupLists!$N$4:$T$60,2,FALSE)</f>
        <v>#N/A</v>
      </c>
      <c r="U227" s="3" t="e">
        <f>VLOOKUP(D227,LookupLists!$N$4:$T$60,3,FALSE)</f>
        <v>#N/A</v>
      </c>
      <c r="V227" s="3" t="e">
        <f>VLOOKUP(D227,LookupLists!$N$4:$T$60,5,FALSE)</f>
        <v>#N/A</v>
      </c>
    </row>
    <row r="228" spans="5:22" x14ac:dyDescent="0.3">
      <c r="E228" s="3" t="str">
        <f t="shared" si="3"/>
        <v/>
      </c>
      <c r="F228" s="3" t="str">
        <f xml:space="preserve"> IF(E228="","",  IFERROR(VLOOKUP(D228,LookupLists!$N$3:$T$60,6,FALSE)-LEN(E228),0))</f>
        <v/>
      </c>
      <c r="G228" s="3" t="str">
        <f>IF(E228="","",IFERROR(matches(E228,VLOOKUP(D228,LookupLists!$N$3:$T$60,7,FALSE)),FALSE))</f>
        <v/>
      </c>
      <c r="H228" s="3" t="e">
        <f>VLOOKUP(A228,LookupLists!$I$3:$L$60,1,FALSE)</f>
        <v>#N/A</v>
      </c>
      <c r="I228" s="3" t="e">
        <f>VLOOKUP(A228,LookupLists!$I$3:$L$60,2,FALSE)</f>
        <v>#N/A</v>
      </c>
      <c r="J228" s="3" t="e">
        <f>VLOOKUP(A228,LookupLists!$I$3:$L$60,3,FALSE)</f>
        <v>#N/A</v>
      </c>
      <c r="K228" s="3" t="e">
        <f>VLOOKUP(A228,LookupLists!$I$3:$L$60,4,FALSE)</f>
        <v>#N/A</v>
      </c>
      <c r="L228" s="3" t="e">
        <f>VLOOKUP(C228,LookupLists!$A$3:$G$60,1,FALSE)</f>
        <v>#N/A</v>
      </c>
      <c r="M228" s="3" t="e">
        <f>VLOOKUP(C228,LookupLists!$A$3:$G$60,4,FALSE)</f>
        <v>#N/A</v>
      </c>
      <c r="N228" s="3" t="e">
        <f>VLOOKUP(C228,LookupLists!$A$3:$G$60,2,FALSE)</f>
        <v>#N/A</v>
      </c>
      <c r="O228" s="3" t="e">
        <f>VLOOKUP(C228,LookupLists!$A$3:$G$60,3,FALSE)</f>
        <v>#N/A</v>
      </c>
      <c r="P228" s="3" t="e">
        <f>VLOOKUP(C228,LookupLists!$A$3:$G$60,5,FALSE)</f>
        <v>#N/A</v>
      </c>
      <c r="Q228" s="3" t="e">
        <f>VLOOKUP(C228,LookupLists!$A$3:$G$60,6,FALSE)</f>
        <v>#N/A</v>
      </c>
      <c r="R228" s="4" t="e">
        <f>VLOOKUP(C228,LookupLists!$A$3:$G$60,7,FALSE)</f>
        <v>#N/A</v>
      </c>
      <c r="S228" s="3" t="e">
        <f>VLOOKUP(D228,LookupLists!$N$4:$T$60,1,FALSE)</f>
        <v>#N/A</v>
      </c>
      <c r="T228" s="3" t="e">
        <f>VLOOKUP(D228,LookupLists!$N$4:$T$60,2,FALSE)</f>
        <v>#N/A</v>
      </c>
      <c r="U228" s="3" t="e">
        <f>VLOOKUP(D228,LookupLists!$N$4:$T$60,3,FALSE)</f>
        <v>#N/A</v>
      </c>
      <c r="V228" s="3" t="e">
        <f>VLOOKUP(D228,LookupLists!$N$4:$T$60,5,FALSE)</f>
        <v>#N/A</v>
      </c>
    </row>
    <row r="229" spans="5:22" x14ac:dyDescent="0.3">
      <c r="E229" s="3" t="str">
        <f t="shared" si="3"/>
        <v/>
      </c>
      <c r="F229" s="3" t="str">
        <f xml:space="preserve"> IF(E229="","",  IFERROR(VLOOKUP(D229,LookupLists!$N$3:$T$60,6,FALSE)-LEN(E229),0))</f>
        <v/>
      </c>
      <c r="G229" s="3" t="str">
        <f>IF(E229="","",IFERROR(matches(E229,VLOOKUP(D229,LookupLists!$N$3:$T$60,7,FALSE)),FALSE))</f>
        <v/>
      </c>
      <c r="H229" s="3" t="e">
        <f>VLOOKUP(A229,LookupLists!$I$3:$L$60,1,FALSE)</f>
        <v>#N/A</v>
      </c>
      <c r="I229" s="3" t="e">
        <f>VLOOKUP(A229,LookupLists!$I$3:$L$60,2,FALSE)</f>
        <v>#N/A</v>
      </c>
      <c r="J229" s="3" t="e">
        <f>VLOOKUP(A229,LookupLists!$I$3:$L$60,3,FALSE)</f>
        <v>#N/A</v>
      </c>
      <c r="K229" s="3" t="e">
        <f>VLOOKUP(A229,LookupLists!$I$3:$L$60,4,FALSE)</f>
        <v>#N/A</v>
      </c>
      <c r="L229" s="3" t="e">
        <f>VLOOKUP(C229,LookupLists!$A$3:$G$60,1,FALSE)</f>
        <v>#N/A</v>
      </c>
      <c r="M229" s="3" t="e">
        <f>VLOOKUP(C229,LookupLists!$A$3:$G$60,4,FALSE)</f>
        <v>#N/A</v>
      </c>
      <c r="N229" s="3" t="e">
        <f>VLOOKUP(C229,LookupLists!$A$3:$G$60,2,FALSE)</f>
        <v>#N/A</v>
      </c>
      <c r="O229" s="3" t="e">
        <f>VLOOKUP(C229,LookupLists!$A$3:$G$60,3,FALSE)</f>
        <v>#N/A</v>
      </c>
      <c r="P229" s="3" t="e">
        <f>VLOOKUP(C229,LookupLists!$A$3:$G$60,5,FALSE)</f>
        <v>#N/A</v>
      </c>
      <c r="Q229" s="3" t="e">
        <f>VLOOKUP(C229,LookupLists!$A$3:$G$60,6,FALSE)</f>
        <v>#N/A</v>
      </c>
      <c r="R229" s="4" t="e">
        <f>VLOOKUP(C229,LookupLists!$A$3:$G$60,7,FALSE)</f>
        <v>#N/A</v>
      </c>
      <c r="S229" s="3" t="e">
        <f>VLOOKUP(D229,LookupLists!$N$4:$T$60,1,FALSE)</f>
        <v>#N/A</v>
      </c>
      <c r="T229" s="3" t="e">
        <f>VLOOKUP(D229,LookupLists!$N$4:$T$60,2,FALSE)</f>
        <v>#N/A</v>
      </c>
      <c r="U229" s="3" t="e">
        <f>VLOOKUP(D229,LookupLists!$N$4:$T$60,3,FALSE)</f>
        <v>#N/A</v>
      </c>
      <c r="V229" s="3" t="e">
        <f>VLOOKUP(D229,LookupLists!$N$4:$T$60,5,FALSE)</f>
        <v>#N/A</v>
      </c>
    </row>
    <row r="230" spans="5:22" x14ac:dyDescent="0.3">
      <c r="E230" s="3" t="str">
        <f t="shared" si="3"/>
        <v/>
      </c>
      <c r="F230" s="3" t="str">
        <f xml:space="preserve"> IF(E230="","",  IFERROR(VLOOKUP(D230,LookupLists!$N$3:$T$60,6,FALSE)-LEN(E230),0))</f>
        <v/>
      </c>
      <c r="G230" s="3" t="str">
        <f>IF(E230="","",IFERROR(matches(E230,VLOOKUP(D230,LookupLists!$N$3:$T$60,7,FALSE)),FALSE))</f>
        <v/>
      </c>
      <c r="H230" s="3" t="e">
        <f>VLOOKUP(A230,LookupLists!$I$3:$L$60,1,FALSE)</f>
        <v>#N/A</v>
      </c>
      <c r="I230" s="3" t="e">
        <f>VLOOKUP(A230,LookupLists!$I$3:$L$60,2,FALSE)</f>
        <v>#N/A</v>
      </c>
      <c r="J230" s="3" t="e">
        <f>VLOOKUP(A230,LookupLists!$I$3:$L$60,3,FALSE)</f>
        <v>#N/A</v>
      </c>
      <c r="K230" s="3" t="e">
        <f>VLOOKUP(A230,LookupLists!$I$3:$L$60,4,FALSE)</f>
        <v>#N/A</v>
      </c>
      <c r="L230" s="3" t="e">
        <f>VLOOKUP(C230,LookupLists!$A$3:$G$60,1,FALSE)</f>
        <v>#N/A</v>
      </c>
      <c r="M230" s="3" t="e">
        <f>VLOOKUP(C230,LookupLists!$A$3:$G$60,4,FALSE)</f>
        <v>#N/A</v>
      </c>
      <c r="N230" s="3" t="e">
        <f>VLOOKUP(C230,LookupLists!$A$3:$G$60,2,FALSE)</f>
        <v>#N/A</v>
      </c>
      <c r="O230" s="3" t="e">
        <f>VLOOKUP(C230,LookupLists!$A$3:$G$60,3,FALSE)</f>
        <v>#N/A</v>
      </c>
      <c r="P230" s="3" t="e">
        <f>VLOOKUP(C230,LookupLists!$A$3:$G$60,5,FALSE)</f>
        <v>#N/A</v>
      </c>
      <c r="Q230" s="3" t="e">
        <f>VLOOKUP(C230,LookupLists!$A$3:$G$60,6,FALSE)</f>
        <v>#N/A</v>
      </c>
      <c r="R230" s="4" t="e">
        <f>VLOOKUP(C230,LookupLists!$A$3:$G$60,7,FALSE)</f>
        <v>#N/A</v>
      </c>
      <c r="S230" s="3" t="e">
        <f>VLOOKUP(D230,LookupLists!$N$4:$T$60,1,FALSE)</f>
        <v>#N/A</v>
      </c>
      <c r="T230" s="3" t="e">
        <f>VLOOKUP(D230,LookupLists!$N$4:$T$60,2,FALSE)</f>
        <v>#N/A</v>
      </c>
      <c r="U230" s="3" t="e">
        <f>VLOOKUP(D230,LookupLists!$N$4:$T$60,3,FALSE)</f>
        <v>#N/A</v>
      </c>
      <c r="V230" s="3" t="e">
        <f>VLOOKUP(D230,LookupLists!$N$4:$T$60,5,FALSE)</f>
        <v>#N/A</v>
      </c>
    </row>
    <row r="231" spans="5:22" x14ac:dyDescent="0.3">
      <c r="E231" s="3" t="str">
        <f t="shared" si="3"/>
        <v/>
      </c>
      <c r="F231" s="3" t="str">
        <f xml:space="preserve"> IF(E231="","",  IFERROR(VLOOKUP(D231,LookupLists!$N$3:$T$60,6,FALSE)-LEN(E231),0))</f>
        <v/>
      </c>
      <c r="G231" s="3" t="str">
        <f>IF(E231="","",IFERROR(matches(E231,VLOOKUP(D231,LookupLists!$N$3:$T$60,7,FALSE)),FALSE))</f>
        <v/>
      </c>
      <c r="H231" s="3" t="e">
        <f>VLOOKUP(A231,LookupLists!$I$3:$L$60,1,FALSE)</f>
        <v>#N/A</v>
      </c>
      <c r="I231" s="3" t="e">
        <f>VLOOKUP(A231,LookupLists!$I$3:$L$60,2,FALSE)</f>
        <v>#N/A</v>
      </c>
      <c r="J231" s="3" t="e">
        <f>VLOOKUP(A231,LookupLists!$I$3:$L$60,3,FALSE)</f>
        <v>#N/A</v>
      </c>
      <c r="K231" s="3" t="e">
        <f>VLOOKUP(A231,LookupLists!$I$3:$L$60,4,FALSE)</f>
        <v>#N/A</v>
      </c>
      <c r="L231" s="3" t="e">
        <f>VLOOKUP(C231,LookupLists!$A$3:$G$60,1,FALSE)</f>
        <v>#N/A</v>
      </c>
      <c r="M231" s="3" t="e">
        <f>VLOOKUP(C231,LookupLists!$A$3:$G$60,4,FALSE)</f>
        <v>#N/A</v>
      </c>
      <c r="N231" s="3" t="e">
        <f>VLOOKUP(C231,LookupLists!$A$3:$G$60,2,FALSE)</f>
        <v>#N/A</v>
      </c>
      <c r="O231" s="3" t="e">
        <f>VLOOKUP(C231,LookupLists!$A$3:$G$60,3,FALSE)</f>
        <v>#N/A</v>
      </c>
      <c r="P231" s="3" t="e">
        <f>VLOOKUP(C231,LookupLists!$A$3:$G$60,5,FALSE)</f>
        <v>#N/A</v>
      </c>
      <c r="Q231" s="3" t="e">
        <f>VLOOKUP(C231,LookupLists!$A$3:$G$60,6,FALSE)</f>
        <v>#N/A</v>
      </c>
      <c r="R231" s="4" t="e">
        <f>VLOOKUP(C231,LookupLists!$A$3:$G$60,7,FALSE)</f>
        <v>#N/A</v>
      </c>
      <c r="S231" s="3" t="e">
        <f>VLOOKUP(D231,LookupLists!$N$4:$T$60,1,FALSE)</f>
        <v>#N/A</v>
      </c>
      <c r="T231" s="3" t="e">
        <f>VLOOKUP(D231,LookupLists!$N$4:$T$60,2,FALSE)</f>
        <v>#N/A</v>
      </c>
      <c r="U231" s="3" t="e">
        <f>VLOOKUP(D231,LookupLists!$N$4:$T$60,3,FALSE)</f>
        <v>#N/A</v>
      </c>
      <c r="V231" s="3" t="e">
        <f>VLOOKUP(D231,LookupLists!$N$4:$T$60,5,FALSE)</f>
        <v>#N/A</v>
      </c>
    </row>
    <row r="232" spans="5:22" x14ac:dyDescent="0.3">
      <c r="E232" s="3" t="str">
        <f t="shared" si="3"/>
        <v/>
      </c>
      <c r="F232" s="3" t="str">
        <f xml:space="preserve"> IF(E232="","",  IFERROR(VLOOKUP(D232,LookupLists!$N$3:$T$60,6,FALSE)-LEN(E232),0))</f>
        <v/>
      </c>
      <c r="G232" s="3" t="str">
        <f>IF(E232="","",IFERROR(matches(E232,VLOOKUP(D232,LookupLists!$N$3:$T$60,7,FALSE)),FALSE))</f>
        <v/>
      </c>
      <c r="H232" s="3" t="e">
        <f>VLOOKUP(A232,LookupLists!$I$3:$L$60,1,FALSE)</f>
        <v>#N/A</v>
      </c>
      <c r="I232" s="3" t="e">
        <f>VLOOKUP(A232,LookupLists!$I$3:$L$60,2,FALSE)</f>
        <v>#N/A</v>
      </c>
      <c r="J232" s="3" t="e">
        <f>VLOOKUP(A232,LookupLists!$I$3:$L$60,3,FALSE)</f>
        <v>#N/A</v>
      </c>
      <c r="K232" s="3" t="e">
        <f>VLOOKUP(A232,LookupLists!$I$3:$L$60,4,FALSE)</f>
        <v>#N/A</v>
      </c>
      <c r="L232" s="3" t="e">
        <f>VLOOKUP(C232,LookupLists!$A$3:$G$60,1,FALSE)</f>
        <v>#N/A</v>
      </c>
      <c r="M232" s="3" t="e">
        <f>VLOOKUP(C232,LookupLists!$A$3:$G$60,4,FALSE)</f>
        <v>#N/A</v>
      </c>
      <c r="N232" s="3" t="e">
        <f>VLOOKUP(C232,LookupLists!$A$3:$G$60,2,FALSE)</f>
        <v>#N/A</v>
      </c>
      <c r="O232" s="3" t="e">
        <f>VLOOKUP(C232,LookupLists!$A$3:$G$60,3,FALSE)</f>
        <v>#N/A</v>
      </c>
      <c r="P232" s="3" t="e">
        <f>VLOOKUP(C232,LookupLists!$A$3:$G$60,5,FALSE)</f>
        <v>#N/A</v>
      </c>
      <c r="Q232" s="3" t="e">
        <f>VLOOKUP(C232,LookupLists!$A$3:$G$60,6,FALSE)</f>
        <v>#N/A</v>
      </c>
      <c r="R232" s="4" t="e">
        <f>VLOOKUP(C232,LookupLists!$A$3:$G$60,7,FALSE)</f>
        <v>#N/A</v>
      </c>
      <c r="S232" s="3" t="e">
        <f>VLOOKUP(D232,LookupLists!$N$4:$T$60,1,FALSE)</f>
        <v>#N/A</v>
      </c>
      <c r="T232" s="3" t="e">
        <f>VLOOKUP(D232,LookupLists!$N$4:$T$60,2,FALSE)</f>
        <v>#N/A</v>
      </c>
      <c r="U232" s="3" t="e">
        <f>VLOOKUP(D232,LookupLists!$N$4:$T$60,3,FALSE)</f>
        <v>#N/A</v>
      </c>
      <c r="V232" s="3" t="e">
        <f>VLOOKUP(D232,LookupLists!$N$4:$T$60,5,FALSE)</f>
        <v>#N/A</v>
      </c>
    </row>
    <row r="233" spans="5:22" x14ac:dyDescent="0.3">
      <c r="E233" s="3" t="str">
        <f t="shared" si="3"/>
        <v/>
      </c>
      <c r="F233" s="3" t="str">
        <f xml:space="preserve"> IF(E233="","",  IFERROR(VLOOKUP(D233,LookupLists!$N$3:$T$60,6,FALSE)-LEN(E233),0))</f>
        <v/>
      </c>
      <c r="G233" s="3" t="str">
        <f>IF(E233="","",IFERROR(matches(E233,VLOOKUP(D233,LookupLists!$N$3:$T$60,7,FALSE)),FALSE))</f>
        <v/>
      </c>
      <c r="H233" s="3" t="e">
        <f>VLOOKUP(A233,LookupLists!$I$3:$L$60,1,FALSE)</f>
        <v>#N/A</v>
      </c>
      <c r="I233" s="3" t="e">
        <f>VLOOKUP(A233,LookupLists!$I$3:$L$60,2,FALSE)</f>
        <v>#N/A</v>
      </c>
      <c r="J233" s="3" t="e">
        <f>VLOOKUP(A233,LookupLists!$I$3:$L$60,3,FALSE)</f>
        <v>#N/A</v>
      </c>
      <c r="K233" s="3" t="e">
        <f>VLOOKUP(A233,LookupLists!$I$3:$L$60,4,FALSE)</f>
        <v>#N/A</v>
      </c>
      <c r="L233" s="3" t="e">
        <f>VLOOKUP(C233,LookupLists!$A$3:$G$60,1,FALSE)</f>
        <v>#N/A</v>
      </c>
      <c r="M233" s="3" t="e">
        <f>VLOOKUP(C233,LookupLists!$A$3:$G$60,4,FALSE)</f>
        <v>#N/A</v>
      </c>
      <c r="N233" s="3" t="e">
        <f>VLOOKUP(C233,LookupLists!$A$3:$G$60,2,FALSE)</f>
        <v>#N/A</v>
      </c>
      <c r="O233" s="3" t="e">
        <f>VLOOKUP(C233,LookupLists!$A$3:$G$60,3,FALSE)</f>
        <v>#N/A</v>
      </c>
      <c r="P233" s="3" t="e">
        <f>VLOOKUP(C233,LookupLists!$A$3:$G$60,5,FALSE)</f>
        <v>#N/A</v>
      </c>
      <c r="Q233" s="3" t="e">
        <f>VLOOKUP(C233,LookupLists!$A$3:$G$60,6,FALSE)</f>
        <v>#N/A</v>
      </c>
      <c r="R233" s="4" t="e">
        <f>VLOOKUP(C233,LookupLists!$A$3:$G$60,7,FALSE)</f>
        <v>#N/A</v>
      </c>
      <c r="S233" s="3" t="e">
        <f>VLOOKUP(D233,LookupLists!$N$4:$T$60,1,FALSE)</f>
        <v>#N/A</v>
      </c>
      <c r="T233" s="3" t="e">
        <f>VLOOKUP(D233,LookupLists!$N$4:$T$60,2,FALSE)</f>
        <v>#N/A</v>
      </c>
      <c r="U233" s="3" t="e">
        <f>VLOOKUP(D233,LookupLists!$N$4:$T$60,3,FALSE)</f>
        <v>#N/A</v>
      </c>
      <c r="V233" s="3" t="e">
        <f>VLOOKUP(D233,LookupLists!$N$4:$T$60,5,FALSE)</f>
        <v>#N/A</v>
      </c>
    </row>
    <row r="234" spans="5:22" x14ac:dyDescent="0.3">
      <c r="E234" s="3" t="str">
        <f t="shared" si="3"/>
        <v/>
      </c>
      <c r="F234" s="3" t="str">
        <f xml:space="preserve"> IF(E234="","",  IFERROR(VLOOKUP(D234,LookupLists!$N$3:$T$60,6,FALSE)-LEN(E234),0))</f>
        <v/>
      </c>
      <c r="G234" s="3" t="str">
        <f>IF(E234="","",IFERROR(matches(E234,VLOOKUP(D234,LookupLists!$N$3:$T$60,7,FALSE)),FALSE))</f>
        <v/>
      </c>
      <c r="H234" s="3" t="e">
        <f>VLOOKUP(A234,LookupLists!$I$3:$L$60,1,FALSE)</f>
        <v>#N/A</v>
      </c>
      <c r="I234" s="3" t="e">
        <f>VLOOKUP(A234,LookupLists!$I$3:$L$60,2,FALSE)</f>
        <v>#N/A</v>
      </c>
      <c r="J234" s="3" t="e">
        <f>VLOOKUP(A234,LookupLists!$I$3:$L$60,3,FALSE)</f>
        <v>#N/A</v>
      </c>
      <c r="K234" s="3" t="e">
        <f>VLOOKUP(A234,LookupLists!$I$3:$L$60,4,FALSE)</f>
        <v>#N/A</v>
      </c>
      <c r="L234" s="3" t="e">
        <f>VLOOKUP(C234,LookupLists!$A$3:$G$60,1,FALSE)</f>
        <v>#N/A</v>
      </c>
      <c r="M234" s="3" t="e">
        <f>VLOOKUP(C234,LookupLists!$A$3:$G$60,4,FALSE)</f>
        <v>#N/A</v>
      </c>
      <c r="N234" s="3" t="e">
        <f>VLOOKUP(C234,LookupLists!$A$3:$G$60,2,FALSE)</f>
        <v>#N/A</v>
      </c>
      <c r="O234" s="3" t="e">
        <f>VLOOKUP(C234,LookupLists!$A$3:$G$60,3,FALSE)</f>
        <v>#N/A</v>
      </c>
      <c r="P234" s="3" t="e">
        <f>VLOOKUP(C234,LookupLists!$A$3:$G$60,5,FALSE)</f>
        <v>#N/A</v>
      </c>
      <c r="Q234" s="3" t="e">
        <f>VLOOKUP(C234,LookupLists!$A$3:$G$60,6,FALSE)</f>
        <v>#N/A</v>
      </c>
      <c r="R234" s="4" t="e">
        <f>VLOOKUP(C234,LookupLists!$A$3:$G$60,7,FALSE)</f>
        <v>#N/A</v>
      </c>
      <c r="S234" s="3" t="e">
        <f>VLOOKUP(D234,LookupLists!$N$4:$T$60,1,FALSE)</f>
        <v>#N/A</v>
      </c>
      <c r="T234" s="3" t="e">
        <f>VLOOKUP(D234,LookupLists!$N$4:$T$60,2,FALSE)</f>
        <v>#N/A</v>
      </c>
      <c r="U234" s="3" t="e">
        <f>VLOOKUP(D234,LookupLists!$N$4:$T$60,3,FALSE)</f>
        <v>#N/A</v>
      </c>
      <c r="V234" s="3" t="e">
        <f>VLOOKUP(D234,LookupLists!$N$4:$T$60,5,FALSE)</f>
        <v>#N/A</v>
      </c>
    </row>
    <row r="235" spans="5:22" x14ac:dyDescent="0.3">
      <c r="E235" s="3" t="str">
        <f t="shared" si="3"/>
        <v/>
      </c>
      <c r="F235" s="3" t="str">
        <f xml:space="preserve"> IF(E235="","",  IFERROR(VLOOKUP(D235,LookupLists!$N$3:$T$60,6,FALSE)-LEN(E235),0))</f>
        <v/>
      </c>
      <c r="G235" s="3" t="str">
        <f>IF(E235="","",IFERROR(matches(E235,VLOOKUP(D235,LookupLists!$N$3:$T$60,7,FALSE)),FALSE))</f>
        <v/>
      </c>
      <c r="H235" s="3" t="e">
        <f>VLOOKUP(A235,LookupLists!$I$3:$L$60,1,FALSE)</f>
        <v>#N/A</v>
      </c>
      <c r="I235" s="3" t="e">
        <f>VLOOKUP(A235,LookupLists!$I$3:$L$60,2,FALSE)</f>
        <v>#N/A</v>
      </c>
      <c r="J235" s="3" t="e">
        <f>VLOOKUP(A235,LookupLists!$I$3:$L$60,3,FALSE)</f>
        <v>#N/A</v>
      </c>
      <c r="K235" s="3" t="e">
        <f>VLOOKUP(A235,LookupLists!$I$3:$L$60,4,FALSE)</f>
        <v>#N/A</v>
      </c>
      <c r="L235" s="3" t="e">
        <f>VLOOKUP(C235,LookupLists!$A$3:$G$60,1,FALSE)</f>
        <v>#N/A</v>
      </c>
      <c r="M235" s="3" t="e">
        <f>VLOOKUP(C235,LookupLists!$A$3:$G$60,4,FALSE)</f>
        <v>#N/A</v>
      </c>
      <c r="N235" s="3" t="e">
        <f>VLOOKUP(C235,LookupLists!$A$3:$G$60,2,FALSE)</f>
        <v>#N/A</v>
      </c>
      <c r="O235" s="3" t="e">
        <f>VLOOKUP(C235,LookupLists!$A$3:$G$60,3,FALSE)</f>
        <v>#N/A</v>
      </c>
      <c r="P235" s="3" t="e">
        <f>VLOOKUP(C235,LookupLists!$A$3:$G$60,5,FALSE)</f>
        <v>#N/A</v>
      </c>
      <c r="Q235" s="3" t="e">
        <f>VLOOKUP(C235,LookupLists!$A$3:$G$60,6,FALSE)</f>
        <v>#N/A</v>
      </c>
      <c r="R235" s="4" t="e">
        <f>VLOOKUP(C235,LookupLists!$A$3:$G$60,7,FALSE)</f>
        <v>#N/A</v>
      </c>
      <c r="S235" s="3" t="e">
        <f>VLOOKUP(D235,LookupLists!$N$4:$T$60,1,FALSE)</f>
        <v>#N/A</v>
      </c>
      <c r="T235" s="3" t="e">
        <f>VLOOKUP(D235,LookupLists!$N$4:$T$60,2,FALSE)</f>
        <v>#N/A</v>
      </c>
      <c r="U235" s="3" t="e">
        <f>VLOOKUP(D235,LookupLists!$N$4:$T$60,3,FALSE)</f>
        <v>#N/A</v>
      </c>
      <c r="V235" s="3" t="e">
        <f>VLOOKUP(D235,LookupLists!$N$4:$T$60,5,FALSE)</f>
        <v>#N/A</v>
      </c>
    </row>
    <row r="236" spans="5:22" x14ac:dyDescent="0.3">
      <c r="E236" s="3" t="str">
        <f t="shared" si="3"/>
        <v/>
      </c>
      <c r="F236" s="3" t="str">
        <f xml:space="preserve"> IF(E236="","",  IFERROR(VLOOKUP(D236,LookupLists!$N$3:$T$60,6,FALSE)-LEN(E236),0))</f>
        <v/>
      </c>
      <c r="G236" s="3" t="str">
        <f>IF(E236="","",IFERROR(matches(E236,VLOOKUP(D236,LookupLists!$N$3:$T$60,7,FALSE)),FALSE))</f>
        <v/>
      </c>
      <c r="H236" s="3" t="e">
        <f>VLOOKUP(A236,LookupLists!$I$3:$L$60,1,FALSE)</f>
        <v>#N/A</v>
      </c>
      <c r="I236" s="3" t="e">
        <f>VLOOKUP(A236,LookupLists!$I$3:$L$60,2,FALSE)</f>
        <v>#N/A</v>
      </c>
      <c r="J236" s="3" t="e">
        <f>VLOOKUP(A236,LookupLists!$I$3:$L$60,3,FALSE)</f>
        <v>#N/A</v>
      </c>
      <c r="K236" s="3" t="e">
        <f>VLOOKUP(A236,LookupLists!$I$3:$L$60,4,FALSE)</f>
        <v>#N/A</v>
      </c>
      <c r="L236" s="3" t="e">
        <f>VLOOKUP(C236,LookupLists!$A$3:$G$60,1,FALSE)</f>
        <v>#N/A</v>
      </c>
      <c r="M236" s="3" t="e">
        <f>VLOOKUP(C236,LookupLists!$A$3:$G$60,4,FALSE)</f>
        <v>#N/A</v>
      </c>
      <c r="N236" s="3" t="e">
        <f>VLOOKUP(C236,LookupLists!$A$3:$G$60,2,FALSE)</f>
        <v>#N/A</v>
      </c>
      <c r="O236" s="3" t="e">
        <f>VLOOKUP(C236,LookupLists!$A$3:$G$60,3,FALSE)</f>
        <v>#N/A</v>
      </c>
      <c r="P236" s="3" t="e">
        <f>VLOOKUP(C236,LookupLists!$A$3:$G$60,5,FALSE)</f>
        <v>#N/A</v>
      </c>
      <c r="Q236" s="3" t="e">
        <f>VLOOKUP(C236,LookupLists!$A$3:$G$60,6,FALSE)</f>
        <v>#N/A</v>
      </c>
      <c r="R236" s="4" t="e">
        <f>VLOOKUP(C236,LookupLists!$A$3:$G$60,7,FALSE)</f>
        <v>#N/A</v>
      </c>
      <c r="S236" s="3" t="e">
        <f>VLOOKUP(D236,LookupLists!$N$4:$T$60,1,FALSE)</f>
        <v>#N/A</v>
      </c>
      <c r="T236" s="3" t="e">
        <f>VLOOKUP(D236,LookupLists!$N$4:$T$60,2,FALSE)</f>
        <v>#N/A</v>
      </c>
      <c r="U236" s="3" t="e">
        <f>VLOOKUP(D236,LookupLists!$N$4:$T$60,3,FALSE)</f>
        <v>#N/A</v>
      </c>
      <c r="V236" s="3" t="e">
        <f>VLOOKUP(D236,LookupLists!$N$4:$T$60,5,FALSE)</f>
        <v>#N/A</v>
      </c>
    </row>
    <row r="237" spans="5:22" x14ac:dyDescent="0.3">
      <c r="E237" s="3" t="str">
        <f t="shared" si="3"/>
        <v/>
      </c>
      <c r="F237" s="3" t="str">
        <f xml:space="preserve"> IF(E237="","",  IFERROR(VLOOKUP(D237,LookupLists!$N$3:$T$60,6,FALSE)-LEN(E237),0))</f>
        <v/>
      </c>
      <c r="G237" s="3" t="str">
        <f>IF(E237="","",IFERROR(matches(E237,VLOOKUP(D237,LookupLists!$N$3:$T$60,7,FALSE)),FALSE))</f>
        <v/>
      </c>
      <c r="H237" s="3" t="e">
        <f>VLOOKUP(A237,LookupLists!$I$3:$L$60,1,FALSE)</f>
        <v>#N/A</v>
      </c>
      <c r="I237" s="3" t="e">
        <f>VLOOKUP(A237,LookupLists!$I$3:$L$60,2,FALSE)</f>
        <v>#N/A</v>
      </c>
      <c r="J237" s="3" t="e">
        <f>VLOOKUP(A237,LookupLists!$I$3:$L$60,3,FALSE)</f>
        <v>#N/A</v>
      </c>
      <c r="K237" s="3" t="e">
        <f>VLOOKUP(A237,LookupLists!$I$3:$L$60,4,FALSE)</f>
        <v>#N/A</v>
      </c>
      <c r="L237" s="3" t="e">
        <f>VLOOKUP(C237,LookupLists!$A$3:$G$60,1,FALSE)</f>
        <v>#N/A</v>
      </c>
      <c r="M237" s="3" t="e">
        <f>VLOOKUP(C237,LookupLists!$A$3:$G$60,4,FALSE)</f>
        <v>#N/A</v>
      </c>
      <c r="N237" s="3" t="e">
        <f>VLOOKUP(C237,LookupLists!$A$3:$G$60,2,FALSE)</f>
        <v>#N/A</v>
      </c>
      <c r="O237" s="3" t="e">
        <f>VLOOKUP(C237,LookupLists!$A$3:$G$60,3,FALSE)</f>
        <v>#N/A</v>
      </c>
      <c r="P237" s="3" t="e">
        <f>VLOOKUP(C237,LookupLists!$A$3:$G$60,5,FALSE)</f>
        <v>#N/A</v>
      </c>
      <c r="Q237" s="3" t="e">
        <f>VLOOKUP(C237,LookupLists!$A$3:$G$60,6,FALSE)</f>
        <v>#N/A</v>
      </c>
      <c r="R237" s="4" t="e">
        <f>VLOOKUP(C237,LookupLists!$A$3:$G$60,7,FALSE)</f>
        <v>#N/A</v>
      </c>
      <c r="S237" s="3" t="e">
        <f>VLOOKUP(D237,LookupLists!$N$4:$T$60,1,FALSE)</f>
        <v>#N/A</v>
      </c>
      <c r="T237" s="3" t="e">
        <f>VLOOKUP(D237,LookupLists!$N$4:$T$60,2,FALSE)</f>
        <v>#N/A</v>
      </c>
      <c r="U237" s="3" t="e">
        <f>VLOOKUP(D237,LookupLists!$N$4:$T$60,3,FALSE)</f>
        <v>#N/A</v>
      </c>
      <c r="V237" s="3" t="e">
        <f>VLOOKUP(D237,LookupLists!$N$4:$T$60,5,FALSE)</f>
        <v>#N/A</v>
      </c>
    </row>
    <row r="238" spans="5:22" x14ac:dyDescent="0.3">
      <c r="E238" s="3" t="str">
        <f t="shared" si="3"/>
        <v/>
      </c>
      <c r="F238" s="3" t="str">
        <f xml:space="preserve"> IF(E238="","",  IFERROR(VLOOKUP(D238,LookupLists!$N$3:$T$60,6,FALSE)-LEN(E238),0))</f>
        <v/>
      </c>
      <c r="G238" s="3" t="str">
        <f>IF(E238="","",IFERROR(matches(E238,VLOOKUP(D238,LookupLists!$N$3:$T$60,7,FALSE)),FALSE))</f>
        <v/>
      </c>
      <c r="H238" s="3" t="e">
        <f>VLOOKUP(A238,LookupLists!$I$3:$L$60,1,FALSE)</f>
        <v>#N/A</v>
      </c>
      <c r="I238" s="3" t="e">
        <f>VLOOKUP(A238,LookupLists!$I$3:$L$60,2,FALSE)</f>
        <v>#N/A</v>
      </c>
      <c r="J238" s="3" t="e">
        <f>VLOOKUP(A238,LookupLists!$I$3:$L$60,3,FALSE)</f>
        <v>#N/A</v>
      </c>
      <c r="K238" s="3" t="e">
        <f>VLOOKUP(A238,LookupLists!$I$3:$L$60,4,FALSE)</f>
        <v>#N/A</v>
      </c>
      <c r="L238" s="3" t="e">
        <f>VLOOKUP(C238,LookupLists!$A$3:$G$60,1,FALSE)</f>
        <v>#N/A</v>
      </c>
      <c r="M238" s="3" t="e">
        <f>VLOOKUP(C238,LookupLists!$A$3:$G$60,4,FALSE)</f>
        <v>#N/A</v>
      </c>
      <c r="N238" s="3" t="e">
        <f>VLOOKUP(C238,LookupLists!$A$3:$G$60,2,FALSE)</f>
        <v>#N/A</v>
      </c>
      <c r="O238" s="3" t="e">
        <f>VLOOKUP(C238,LookupLists!$A$3:$G$60,3,FALSE)</f>
        <v>#N/A</v>
      </c>
      <c r="P238" s="3" t="e">
        <f>VLOOKUP(C238,LookupLists!$A$3:$G$60,5,FALSE)</f>
        <v>#N/A</v>
      </c>
      <c r="Q238" s="3" t="e">
        <f>VLOOKUP(C238,LookupLists!$A$3:$G$60,6,FALSE)</f>
        <v>#N/A</v>
      </c>
      <c r="R238" s="4" t="e">
        <f>VLOOKUP(C238,LookupLists!$A$3:$G$60,7,FALSE)</f>
        <v>#N/A</v>
      </c>
      <c r="S238" s="3" t="e">
        <f>VLOOKUP(D238,LookupLists!$N$4:$T$60,1,FALSE)</f>
        <v>#N/A</v>
      </c>
      <c r="T238" s="3" t="e">
        <f>VLOOKUP(D238,LookupLists!$N$4:$T$60,2,FALSE)</f>
        <v>#N/A</v>
      </c>
      <c r="U238" s="3" t="e">
        <f>VLOOKUP(D238,LookupLists!$N$4:$T$60,3,FALSE)</f>
        <v>#N/A</v>
      </c>
      <c r="V238" s="3" t="e">
        <f>VLOOKUP(D238,LookupLists!$N$4:$T$60,5,FALSE)</f>
        <v>#N/A</v>
      </c>
    </row>
    <row r="239" spans="5:22" x14ac:dyDescent="0.3">
      <c r="E239" s="3" t="str">
        <f t="shared" si="3"/>
        <v/>
      </c>
      <c r="F239" s="3" t="str">
        <f xml:space="preserve"> IF(E239="","",  IFERROR(VLOOKUP(D239,LookupLists!$N$3:$T$60,6,FALSE)-LEN(E239),0))</f>
        <v/>
      </c>
      <c r="G239" s="3" t="str">
        <f>IF(E239="","",IFERROR(matches(E239,VLOOKUP(D239,LookupLists!$N$3:$T$60,7,FALSE)),FALSE))</f>
        <v/>
      </c>
      <c r="H239" s="3" t="e">
        <f>VLOOKUP(A239,LookupLists!$I$3:$L$60,1,FALSE)</f>
        <v>#N/A</v>
      </c>
      <c r="I239" s="3" t="e">
        <f>VLOOKUP(A239,LookupLists!$I$3:$L$60,2,FALSE)</f>
        <v>#N/A</v>
      </c>
      <c r="J239" s="3" t="e">
        <f>VLOOKUP(A239,LookupLists!$I$3:$L$60,3,FALSE)</f>
        <v>#N/A</v>
      </c>
      <c r="K239" s="3" t="e">
        <f>VLOOKUP(A239,LookupLists!$I$3:$L$60,4,FALSE)</f>
        <v>#N/A</v>
      </c>
      <c r="L239" s="3" t="e">
        <f>VLOOKUP(C239,LookupLists!$A$3:$G$60,1,FALSE)</f>
        <v>#N/A</v>
      </c>
      <c r="M239" s="3" t="e">
        <f>VLOOKUP(C239,LookupLists!$A$3:$G$60,4,FALSE)</f>
        <v>#N/A</v>
      </c>
      <c r="N239" s="3" t="e">
        <f>VLOOKUP(C239,LookupLists!$A$3:$G$60,2,FALSE)</f>
        <v>#N/A</v>
      </c>
      <c r="O239" s="3" t="e">
        <f>VLOOKUP(C239,LookupLists!$A$3:$G$60,3,FALSE)</f>
        <v>#N/A</v>
      </c>
      <c r="P239" s="3" t="e">
        <f>VLOOKUP(C239,LookupLists!$A$3:$G$60,5,FALSE)</f>
        <v>#N/A</v>
      </c>
      <c r="Q239" s="3" t="e">
        <f>VLOOKUP(C239,LookupLists!$A$3:$G$60,6,FALSE)</f>
        <v>#N/A</v>
      </c>
      <c r="R239" s="4" t="e">
        <f>VLOOKUP(C239,LookupLists!$A$3:$G$60,7,FALSE)</f>
        <v>#N/A</v>
      </c>
      <c r="S239" s="3" t="e">
        <f>VLOOKUP(D239,LookupLists!$N$4:$T$60,1,FALSE)</f>
        <v>#N/A</v>
      </c>
      <c r="T239" s="3" t="e">
        <f>VLOOKUP(D239,LookupLists!$N$4:$T$60,2,FALSE)</f>
        <v>#N/A</v>
      </c>
      <c r="U239" s="3" t="e">
        <f>VLOOKUP(D239,LookupLists!$N$4:$T$60,3,FALSE)</f>
        <v>#N/A</v>
      </c>
      <c r="V239" s="3" t="e">
        <f>VLOOKUP(D239,LookupLists!$N$4:$T$60,5,FALSE)</f>
        <v>#N/A</v>
      </c>
    </row>
    <row r="240" spans="5:22" x14ac:dyDescent="0.3">
      <c r="E240" s="3" t="str">
        <f t="shared" si="3"/>
        <v/>
      </c>
      <c r="F240" s="3" t="str">
        <f xml:space="preserve"> IF(E240="","",  IFERROR(VLOOKUP(D240,LookupLists!$N$3:$T$60,6,FALSE)-LEN(E240),0))</f>
        <v/>
      </c>
      <c r="G240" s="3" t="str">
        <f>IF(E240="","",IFERROR(matches(E240,VLOOKUP(D240,LookupLists!$N$3:$T$60,7,FALSE)),FALSE))</f>
        <v/>
      </c>
      <c r="H240" s="3" t="e">
        <f>VLOOKUP(A240,LookupLists!$I$3:$L$60,1,FALSE)</f>
        <v>#N/A</v>
      </c>
      <c r="I240" s="3" t="e">
        <f>VLOOKUP(A240,LookupLists!$I$3:$L$60,2,FALSE)</f>
        <v>#N/A</v>
      </c>
      <c r="J240" s="3" t="e">
        <f>VLOOKUP(A240,LookupLists!$I$3:$L$60,3,FALSE)</f>
        <v>#N/A</v>
      </c>
      <c r="K240" s="3" t="e">
        <f>VLOOKUP(A240,LookupLists!$I$3:$L$60,4,FALSE)</f>
        <v>#N/A</v>
      </c>
      <c r="L240" s="3" t="e">
        <f>VLOOKUP(C240,LookupLists!$A$3:$G$60,1,FALSE)</f>
        <v>#N/A</v>
      </c>
      <c r="M240" s="3" t="e">
        <f>VLOOKUP(C240,LookupLists!$A$3:$G$60,4,FALSE)</f>
        <v>#N/A</v>
      </c>
      <c r="N240" s="3" t="e">
        <f>VLOOKUP(C240,LookupLists!$A$3:$G$60,2,FALSE)</f>
        <v>#N/A</v>
      </c>
      <c r="O240" s="3" t="e">
        <f>VLOOKUP(C240,LookupLists!$A$3:$G$60,3,FALSE)</f>
        <v>#N/A</v>
      </c>
      <c r="P240" s="3" t="e">
        <f>VLOOKUP(C240,LookupLists!$A$3:$G$60,5,FALSE)</f>
        <v>#N/A</v>
      </c>
      <c r="Q240" s="3" t="e">
        <f>VLOOKUP(C240,LookupLists!$A$3:$G$60,6,FALSE)</f>
        <v>#N/A</v>
      </c>
      <c r="R240" s="4" t="e">
        <f>VLOOKUP(C240,LookupLists!$A$3:$G$60,7,FALSE)</f>
        <v>#N/A</v>
      </c>
      <c r="S240" s="3" t="e">
        <f>VLOOKUP(D240,LookupLists!$N$4:$T$60,1,FALSE)</f>
        <v>#N/A</v>
      </c>
      <c r="T240" s="3" t="e">
        <f>VLOOKUP(D240,LookupLists!$N$4:$T$60,2,FALSE)</f>
        <v>#N/A</v>
      </c>
      <c r="U240" s="3" t="e">
        <f>VLOOKUP(D240,LookupLists!$N$4:$T$60,3,FALSE)</f>
        <v>#N/A</v>
      </c>
      <c r="V240" s="3" t="e">
        <f>VLOOKUP(D240,LookupLists!$N$4:$T$60,5,FALSE)</f>
        <v>#N/A</v>
      </c>
    </row>
    <row r="241" spans="5:22" x14ac:dyDescent="0.3">
      <c r="E241" s="3" t="str">
        <f t="shared" si="3"/>
        <v/>
      </c>
      <c r="F241" s="3" t="str">
        <f xml:space="preserve"> IF(E241="","",  IFERROR(VLOOKUP(D241,LookupLists!$N$3:$T$60,6,FALSE)-LEN(E241),0))</f>
        <v/>
      </c>
      <c r="G241" s="3" t="str">
        <f>IF(E241="","",IFERROR(matches(E241,VLOOKUP(D241,LookupLists!$N$3:$T$60,7,FALSE)),FALSE))</f>
        <v/>
      </c>
      <c r="H241" s="3" t="e">
        <f>VLOOKUP(A241,LookupLists!$I$3:$L$60,1,FALSE)</f>
        <v>#N/A</v>
      </c>
      <c r="I241" s="3" t="e">
        <f>VLOOKUP(A241,LookupLists!$I$3:$L$60,2,FALSE)</f>
        <v>#N/A</v>
      </c>
      <c r="J241" s="3" t="e">
        <f>VLOOKUP(A241,LookupLists!$I$3:$L$60,3,FALSE)</f>
        <v>#N/A</v>
      </c>
      <c r="K241" s="3" t="e">
        <f>VLOOKUP(A241,LookupLists!$I$3:$L$60,4,FALSE)</f>
        <v>#N/A</v>
      </c>
      <c r="L241" s="3" t="e">
        <f>VLOOKUP(C241,LookupLists!$A$3:$G$60,1,FALSE)</f>
        <v>#N/A</v>
      </c>
      <c r="M241" s="3" t="e">
        <f>VLOOKUP(C241,LookupLists!$A$3:$G$60,4,FALSE)</f>
        <v>#N/A</v>
      </c>
      <c r="N241" s="3" t="e">
        <f>VLOOKUP(C241,LookupLists!$A$3:$G$60,2,FALSE)</f>
        <v>#N/A</v>
      </c>
      <c r="O241" s="3" t="e">
        <f>VLOOKUP(C241,LookupLists!$A$3:$G$60,3,FALSE)</f>
        <v>#N/A</v>
      </c>
      <c r="P241" s="3" t="e">
        <f>VLOOKUP(C241,LookupLists!$A$3:$G$60,5,FALSE)</f>
        <v>#N/A</v>
      </c>
      <c r="Q241" s="3" t="e">
        <f>VLOOKUP(C241,LookupLists!$A$3:$G$60,6,FALSE)</f>
        <v>#N/A</v>
      </c>
      <c r="R241" s="4" t="e">
        <f>VLOOKUP(C241,LookupLists!$A$3:$G$60,7,FALSE)</f>
        <v>#N/A</v>
      </c>
      <c r="S241" s="3" t="e">
        <f>VLOOKUP(D241,LookupLists!$N$4:$T$60,1,FALSE)</f>
        <v>#N/A</v>
      </c>
      <c r="T241" s="3" t="e">
        <f>VLOOKUP(D241,LookupLists!$N$4:$T$60,2,FALSE)</f>
        <v>#N/A</v>
      </c>
      <c r="U241" s="3" t="e">
        <f>VLOOKUP(D241,LookupLists!$N$4:$T$60,3,FALSE)</f>
        <v>#N/A</v>
      </c>
      <c r="V241" s="3" t="e">
        <f>VLOOKUP(D241,LookupLists!$N$4:$T$60,5,FALSE)</f>
        <v>#N/A</v>
      </c>
    </row>
    <row r="242" spans="5:22" x14ac:dyDescent="0.3">
      <c r="E242" s="3" t="str">
        <f t="shared" si="3"/>
        <v/>
      </c>
      <c r="F242" s="3" t="str">
        <f xml:space="preserve"> IF(E242="","",  IFERROR(VLOOKUP(D242,LookupLists!$N$3:$T$60,6,FALSE)-LEN(E242),0))</f>
        <v/>
      </c>
      <c r="G242" s="3" t="str">
        <f>IF(E242="","",IFERROR(matches(E242,VLOOKUP(D242,LookupLists!$N$3:$T$60,7,FALSE)),FALSE))</f>
        <v/>
      </c>
      <c r="H242" s="3" t="e">
        <f>VLOOKUP(A242,LookupLists!$I$3:$L$60,1,FALSE)</f>
        <v>#N/A</v>
      </c>
      <c r="I242" s="3" t="e">
        <f>VLOOKUP(A242,LookupLists!$I$3:$L$60,2,FALSE)</f>
        <v>#N/A</v>
      </c>
      <c r="J242" s="3" t="e">
        <f>VLOOKUP(A242,LookupLists!$I$3:$L$60,3,FALSE)</f>
        <v>#N/A</v>
      </c>
      <c r="K242" s="3" t="e">
        <f>VLOOKUP(A242,LookupLists!$I$3:$L$60,4,FALSE)</f>
        <v>#N/A</v>
      </c>
      <c r="L242" s="3" t="e">
        <f>VLOOKUP(C242,LookupLists!$A$3:$G$60,1,FALSE)</f>
        <v>#N/A</v>
      </c>
      <c r="M242" s="3" t="e">
        <f>VLOOKUP(C242,LookupLists!$A$3:$G$60,4,FALSE)</f>
        <v>#N/A</v>
      </c>
      <c r="N242" s="3" t="e">
        <f>VLOOKUP(C242,LookupLists!$A$3:$G$60,2,FALSE)</f>
        <v>#N/A</v>
      </c>
      <c r="O242" s="3" t="e">
        <f>VLOOKUP(C242,LookupLists!$A$3:$G$60,3,FALSE)</f>
        <v>#N/A</v>
      </c>
      <c r="P242" s="3" t="e">
        <f>VLOOKUP(C242,LookupLists!$A$3:$G$60,5,FALSE)</f>
        <v>#N/A</v>
      </c>
      <c r="Q242" s="3" t="e">
        <f>VLOOKUP(C242,LookupLists!$A$3:$G$60,6,FALSE)</f>
        <v>#N/A</v>
      </c>
      <c r="R242" s="4" t="e">
        <f>VLOOKUP(C242,LookupLists!$A$3:$G$60,7,FALSE)</f>
        <v>#N/A</v>
      </c>
      <c r="S242" s="3" t="e">
        <f>VLOOKUP(D242,LookupLists!$N$4:$T$60,1,FALSE)</f>
        <v>#N/A</v>
      </c>
      <c r="T242" s="3" t="e">
        <f>VLOOKUP(D242,LookupLists!$N$4:$T$60,2,FALSE)</f>
        <v>#N/A</v>
      </c>
      <c r="U242" s="3" t="e">
        <f>VLOOKUP(D242,LookupLists!$N$4:$T$60,3,FALSE)</f>
        <v>#N/A</v>
      </c>
      <c r="V242" s="3" t="e">
        <f>VLOOKUP(D242,LookupLists!$N$4:$T$60,5,FALSE)</f>
        <v>#N/A</v>
      </c>
    </row>
    <row r="243" spans="5:22" x14ac:dyDescent="0.3">
      <c r="E243" s="3" t="str">
        <f t="shared" si="3"/>
        <v/>
      </c>
      <c r="F243" s="3" t="str">
        <f xml:space="preserve"> IF(E243="","",  IFERROR(VLOOKUP(D243,LookupLists!$N$3:$T$60,6,FALSE)-LEN(E243),0))</f>
        <v/>
      </c>
      <c r="G243" s="3" t="str">
        <f>IF(E243="","",IFERROR(matches(E243,VLOOKUP(D243,LookupLists!$N$3:$T$60,7,FALSE)),FALSE))</f>
        <v/>
      </c>
      <c r="H243" s="3" t="e">
        <f>VLOOKUP(A243,LookupLists!$I$3:$L$60,1,FALSE)</f>
        <v>#N/A</v>
      </c>
      <c r="I243" s="3" t="e">
        <f>VLOOKUP(A243,LookupLists!$I$3:$L$60,2,FALSE)</f>
        <v>#N/A</v>
      </c>
      <c r="J243" s="3" t="e">
        <f>VLOOKUP(A243,LookupLists!$I$3:$L$60,3,FALSE)</f>
        <v>#N/A</v>
      </c>
      <c r="K243" s="3" t="e">
        <f>VLOOKUP(A243,LookupLists!$I$3:$L$60,4,FALSE)</f>
        <v>#N/A</v>
      </c>
      <c r="L243" s="3" t="e">
        <f>VLOOKUP(C243,LookupLists!$A$3:$G$60,1,FALSE)</f>
        <v>#N/A</v>
      </c>
      <c r="M243" s="3" t="e">
        <f>VLOOKUP(C243,LookupLists!$A$3:$G$60,4,FALSE)</f>
        <v>#N/A</v>
      </c>
      <c r="N243" s="3" t="e">
        <f>VLOOKUP(C243,LookupLists!$A$3:$G$60,2,FALSE)</f>
        <v>#N/A</v>
      </c>
      <c r="O243" s="3" t="e">
        <f>VLOOKUP(C243,LookupLists!$A$3:$G$60,3,FALSE)</f>
        <v>#N/A</v>
      </c>
      <c r="P243" s="3" t="e">
        <f>VLOOKUP(C243,LookupLists!$A$3:$G$60,5,FALSE)</f>
        <v>#N/A</v>
      </c>
      <c r="Q243" s="3" t="e">
        <f>VLOOKUP(C243,LookupLists!$A$3:$G$60,6,FALSE)</f>
        <v>#N/A</v>
      </c>
      <c r="R243" s="4" t="e">
        <f>VLOOKUP(C243,LookupLists!$A$3:$G$60,7,FALSE)</f>
        <v>#N/A</v>
      </c>
      <c r="S243" s="3" t="e">
        <f>VLOOKUP(D243,LookupLists!$N$4:$T$60,1,FALSE)</f>
        <v>#N/A</v>
      </c>
      <c r="T243" s="3" t="e">
        <f>VLOOKUP(D243,LookupLists!$N$4:$T$60,2,FALSE)</f>
        <v>#N/A</v>
      </c>
      <c r="U243" s="3" t="e">
        <f>VLOOKUP(D243,LookupLists!$N$4:$T$60,3,FALSE)</f>
        <v>#N/A</v>
      </c>
      <c r="V243" s="3" t="e">
        <f>VLOOKUP(D243,LookupLists!$N$4:$T$60,5,FALSE)</f>
        <v>#N/A</v>
      </c>
    </row>
    <row r="244" spans="5:22" x14ac:dyDescent="0.3">
      <c r="E244" s="3" t="str">
        <f t="shared" si="3"/>
        <v/>
      </c>
      <c r="F244" s="3" t="str">
        <f xml:space="preserve"> IF(E244="","",  IFERROR(VLOOKUP(D244,LookupLists!$N$3:$T$60,6,FALSE)-LEN(E244),0))</f>
        <v/>
      </c>
      <c r="G244" s="3" t="str">
        <f>IF(E244="","",IFERROR(matches(E244,VLOOKUP(D244,LookupLists!$N$3:$T$60,7,FALSE)),FALSE))</f>
        <v/>
      </c>
      <c r="H244" s="3" t="e">
        <f>VLOOKUP(A244,LookupLists!$I$3:$L$60,1,FALSE)</f>
        <v>#N/A</v>
      </c>
      <c r="I244" s="3" t="e">
        <f>VLOOKUP(A244,LookupLists!$I$3:$L$60,2,FALSE)</f>
        <v>#N/A</v>
      </c>
      <c r="J244" s="3" t="e">
        <f>VLOOKUP(A244,LookupLists!$I$3:$L$60,3,FALSE)</f>
        <v>#N/A</v>
      </c>
      <c r="K244" s="3" t="e">
        <f>VLOOKUP(A244,LookupLists!$I$3:$L$60,4,FALSE)</f>
        <v>#N/A</v>
      </c>
      <c r="L244" s="3" t="e">
        <f>VLOOKUP(C244,LookupLists!$A$3:$G$60,1,FALSE)</f>
        <v>#N/A</v>
      </c>
      <c r="M244" s="3" t="e">
        <f>VLOOKUP(C244,LookupLists!$A$3:$G$60,4,FALSE)</f>
        <v>#N/A</v>
      </c>
      <c r="N244" s="3" t="e">
        <f>VLOOKUP(C244,LookupLists!$A$3:$G$60,2,FALSE)</f>
        <v>#N/A</v>
      </c>
      <c r="O244" s="3" t="e">
        <f>VLOOKUP(C244,LookupLists!$A$3:$G$60,3,FALSE)</f>
        <v>#N/A</v>
      </c>
      <c r="P244" s="3" t="e">
        <f>VLOOKUP(C244,LookupLists!$A$3:$G$60,5,FALSE)</f>
        <v>#N/A</v>
      </c>
      <c r="Q244" s="3" t="e">
        <f>VLOOKUP(C244,LookupLists!$A$3:$G$60,6,FALSE)</f>
        <v>#N/A</v>
      </c>
      <c r="R244" s="4" t="e">
        <f>VLOOKUP(C244,LookupLists!$A$3:$G$60,7,FALSE)</f>
        <v>#N/A</v>
      </c>
      <c r="S244" s="3" t="e">
        <f>VLOOKUP(D244,LookupLists!$N$4:$T$60,1,FALSE)</f>
        <v>#N/A</v>
      </c>
      <c r="T244" s="3" t="e">
        <f>VLOOKUP(D244,LookupLists!$N$4:$T$60,2,FALSE)</f>
        <v>#N/A</v>
      </c>
      <c r="U244" s="3" t="e">
        <f>VLOOKUP(D244,LookupLists!$N$4:$T$60,3,FALSE)</f>
        <v>#N/A</v>
      </c>
      <c r="V244" s="3" t="e">
        <f>VLOOKUP(D244,LookupLists!$N$4:$T$60,5,FALSE)</f>
        <v>#N/A</v>
      </c>
    </row>
    <row r="245" spans="5:22" x14ac:dyDescent="0.3">
      <c r="E245" s="3" t="str">
        <f t="shared" si="3"/>
        <v/>
      </c>
      <c r="F245" s="3" t="str">
        <f xml:space="preserve"> IF(E245="","",  IFERROR(VLOOKUP(D245,LookupLists!$N$3:$T$60,6,FALSE)-LEN(E245),0))</f>
        <v/>
      </c>
      <c r="G245" s="3" t="str">
        <f>IF(E245="","",IFERROR(matches(E245,VLOOKUP(D245,LookupLists!$N$3:$T$60,7,FALSE)),FALSE))</f>
        <v/>
      </c>
      <c r="H245" s="3" t="e">
        <f>VLOOKUP(A245,LookupLists!$I$3:$L$60,1,FALSE)</f>
        <v>#N/A</v>
      </c>
      <c r="I245" s="3" t="e">
        <f>VLOOKUP(A245,LookupLists!$I$3:$L$60,2,FALSE)</f>
        <v>#N/A</v>
      </c>
      <c r="J245" s="3" t="e">
        <f>VLOOKUP(A245,LookupLists!$I$3:$L$60,3,FALSE)</f>
        <v>#N/A</v>
      </c>
      <c r="K245" s="3" t="e">
        <f>VLOOKUP(A245,LookupLists!$I$3:$L$60,4,FALSE)</f>
        <v>#N/A</v>
      </c>
      <c r="L245" s="3" t="e">
        <f>VLOOKUP(C245,LookupLists!$A$3:$G$60,1,FALSE)</f>
        <v>#N/A</v>
      </c>
      <c r="M245" s="3" t="e">
        <f>VLOOKUP(C245,LookupLists!$A$3:$G$60,4,FALSE)</f>
        <v>#N/A</v>
      </c>
      <c r="N245" s="3" t="e">
        <f>VLOOKUP(C245,LookupLists!$A$3:$G$60,2,FALSE)</f>
        <v>#N/A</v>
      </c>
      <c r="O245" s="3" t="e">
        <f>VLOOKUP(C245,LookupLists!$A$3:$G$60,3,FALSE)</f>
        <v>#N/A</v>
      </c>
      <c r="P245" s="3" t="e">
        <f>VLOOKUP(C245,LookupLists!$A$3:$G$60,5,FALSE)</f>
        <v>#N/A</v>
      </c>
      <c r="Q245" s="3" t="e">
        <f>VLOOKUP(C245,LookupLists!$A$3:$G$60,6,FALSE)</f>
        <v>#N/A</v>
      </c>
      <c r="R245" s="4" t="e">
        <f>VLOOKUP(C245,LookupLists!$A$3:$G$60,7,FALSE)</f>
        <v>#N/A</v>
      </c>
      <c r="S245" s="3" t="e">
        <f>VLOOKUP(D245,LookupLists!$N$4:$T$60,1,FALSE)</f>
        <v>#N/A</v>
      </c>
      <c r="T245" s="3" t="e">
        <f>VLOOKUP(D245,LookupLists!$N$4:$T$60,2,FALSE)</f>
        <v>#N/A</v>
      </c>
      <c r="U245" s="3" t="e">
        <f>VLOOKUP(D245,LookupLists!$N$4:$T$60,3,FALSE)</f>
        <v>#N/A</v>
      </c>
      <c r="V245" s="3" t="e">
        <f>VLOOKUP(D245,LookupLists!$N$4:$T$60,5,FALSE)</f>
        <v>#N/A</v>
      </c>
    </row>
    <row r="246" spans="5:22" x14ac:dyDescent="0.3">
      <c r="E246" s="3" t="str">
        <f t="shared" si="3"/>
        <v/>
      </c>
      <c r="F246" s="3" t="str">
        <f xml:space="preserve"> IF(E246="","",  IFERROR(VLOOKUP(D246,LookupLists!$N$3:$T$60,6,FALSE)-LEN(E246),0))</f>
        <v/>
      </c>
      <c r="G246" s="3" t="str">
        <f>IF(E246="","",IFERROR(matches(E246,VLOOKUP(D246,LookupLists!$N$3:$T$60,7,FALSE)),FALSE))</f>
        <v/>
      </c>
      <c r="H246" s="3" t="e">
        <f>VLOOKUP(A246,LookupLists!$I$3:$L$60,1,FALSE)</f>
        <v>#N/A</v>
      </c>
      <c r="I246" s="3" t="e">
        <f>VLOOKUP(A246,LookupLists!$I$3:$L$60,2,FALSE)</f>
        <v>#N/A</v>
      </c>
      <c r="J246" s="3" t="e">
        <f>VLOOKUP(A246,LookupLists!$I$3:$L$60,3,FALSE)</f>
        <v>#N/A</v>
      </c>
      <c r="K246" s="3" t="e">
        <f>VLOOKUP(A246,LookupLists!$I$3:$L$60,4,FALSE)</f>
        <v>#N/A</v>
      </c>
      <c r="L246" s="3" t="e">
        <f>VLOOKUP(C246,LookupLists!$A$3:$G$60,1,FALSE)</f>
        <v>#N/A</v>
      </c>
      <c r="M246" s="3" t="e">
        <f>VLOOKUP(C246,LookupLists!$A$3:$G$60,4,FALSE)</f>
        <v>#N/A</v>
      </c>
      <c r="N246" s="3" t="e">
        <f>VLOOKUP(C246,LookupLists!$A$3:$G$60,2,FALSE)</f>
        <v>#N/A</v>
      </c>
      <c r="O246" s="3" t="e">
        <f>VLOOKUP(C246,LookupLists!$A$3:$G$60,3,FALSE)</f>
        <v>#N/A</v>
      </c>
      <c r="P246" s="3" t="e">
        <f>VLOOKUP(C246,LookupLists!$A$3:$G$60,5,FALSE)</f>
        <v>#N/A</v>
      </c>
      <c r="Q246" s="3" t="e">
        <f>VLOOKUP(C246,LookupLists!$A$3:$G$60,6,FALSE)</f>
        <v>#N/A</v>
      </c>
      <c r="R246" s="4" t="e">
        <f>VLOOKUP(C246,LookupLists!$A$3:$G$60,7,FALSE)</f>
        <v>#N/A</v>
      </c>
      <c r="S246" s="3" t="e">
        <f>VLOOKUP(D246,LookupLists!$N$4:$T$60,1,FALSE)</f>
        <v>#N/A</v>
      </c>
      <c r="T246" s="3" t="e">
        <f>VLOOKUP(D246,LookupLists!$N$4:$T$60,2,FALSE)</f>
        <v>#N/A</v>
      </c>
      <c r="U246" s="3" t="e">
        <f>VLOOKUP(D246,LookupLists!$N$4:$T$60,3,FALSE)</f>
        <v>#N/A</v>
      </c>
      <c r="V246" s="3" t="e">
        <f>VLOOKUP(D246,LookupLists!$N$4:$T$60,5,FALSE)</f>
        <v>#N/A</v>
      </c>
    </row>
    <row r="247" spans="5:22" x14ac:dyDescent="0.3">
      <c r="E247" s="3" t="str">
        <f t="shared" si="3"/>
        <v/>
      </c>
      <c r="F247" s="3" t="str">
        <f xml:space="preserve"> IF(E247="","",  IFERROR(VLOOKUP(D247,LookupLists!$N$3:$T$60,6,FALSE)-LEN(E247),0))</f>
        <v/>
      </c>
      <c r="G247" s="3" t="str">
        <f>IF(E247="","",IFERROR(matches(E247,VLOOKUP(D247,LookupLists!$N$3:$T$60,7,FALSE)),FALSE))</f>
        <v/>
      </c>
      <c r="H247" s="3" t="e">
        <f>VLOOKUP(A247,LookupLists!$I$3:$L$60,1,FALSE)</f>
        <v>#N/A</v>
      </c>
      <c r="I247" s="3" t="e">
        <f>VLOOKUP(A247,LookupLists!$I$3:$L$60,2,FALSE)</f>
        <v>#N/A</v>
      </c>
      <c r="J247" s="3" t="e">
        <f>VLOOKUP(A247,LookupLists!$I$3:$L$60,3,FALSE)</f>
        <v>#N/A</v>
      </c>
      <c r="K247" s="3" t="e">
        <f>VLOOKUP(A247,LookupLists!$I$3:$L$60,4,FALSE)</f>
        <v>#N/A</v>
      </c>
      <c r="L247" s="3" t="e">
        <f>VLOOKUP(C247,LookupLists!$A$3:$G$60,1,FALSE)</f>
        <v>#N/A</v>
      </c>
      <c r="M247" s="3" t="e">
        <f>VLOOKUP(C247,LookupLists!$A$3:$G$60,4,FALSE)</f>
        <v>#N/A</v>
      </c>
      <c r="N247" s="3" t="e">
        <f>VLOOKUP(C247,LookupLists!$A$3:$G$60,2,FALSE)</f>
        <v>#N/A</v>
      </c>
      <c r="O247" s="3" t="e">
        <f>VLOOKUP(C247,LookupLists!$A$3:$G$60,3,FALSE)</f>
        <v>#N/A</v>
      </c>
      <c r="P247" s="3" t="e">
        <f>VLOOKUP(C247,LookupLists!$A$3:$G$60,5,FALSE)</f>
        <v>#N/A</v>
      </c>
      <c r="Q247" s="3" t="e">
        <f>VLOOKUP(C247,LookupLists!$A$3:$G$60,6,FALSE)</f>
        <v>#N/A</v>
      </c>
      <c r="R247" s="4" t="e">
        <f>VLOOKUP(C247,LookupLists!$A$3:$G$60,7,FALSE)</f>
        <v>#N/A</v>
      </c>
      <c r="S247" s="3" t="e">
        <f>VLOOKUP(D247,LookupLists!$N$4:$T$60,1,FALSE)</f>
        <v>#N/A</v>
      </c>
      <c r="T247" s="3" t="e">
        <f>VLOOKUP(D247,LookupLists!$N$4:$T$60,2,FALSE)</f>
        <v>#N/A</v>
      </c>
      <c r="U247" s="3" t="e">
        <f>VLOOKUP(D247,LookupLists!$N$4:$T$60,3,FALSE)</f>
        <v>#N/A</v>
      </c>
      <c r="V247" s="3" t="e">
        <f>VLOOKUP(D247,LookupLists!$N$4:$T$60,5,FALSE)</f>
        <v>#N/A</v>
      </c>
    </row>
    <row r="248" spans="5:22" x14ac:dyDescent="0.3">
      <c r="E248" s="3" t="str">
        <f t="shared" si="3"/>
        <v/>
      </c>
      <c r="F248" s="3" t="str">
        <f xml:space="preserve"> IF(E248="","",  IFERROR(VLOOKUP(D248,LookupLists!$N$3:$T$60,6,FALSE)-LEN(E248),0))</f>
        <v/>
      </c>
      <c r="G248" s="3" t="str">
        <f>IF(E248="","",IFERROR(matches(E248,VLOOKUP(D248,LookupLists!$N$3:$T$60,7,FALSE)),FALSE))</f>
        <v/>
      </c>
      <c r="H248" s="3" t="e">
        <f>VLOOKUP(A248,LookupLists!$I$3:$L$60,1,FALSE)</f>
        <v>#N/A</v>
      </c>
      <c r="I248" s="3" t="e">
        <f>VLOOKUP(A248,LookupLists!$I$3:$L$60,2,FALSE)</f>
        <v>#N/A</v>
      </c>
      <c r="J248" s="3" t="e">
        <f>VLOOKUP(A248,LookupLists!$I$3:$L$60,3,FALSE)</f>
        <v>#N/A</v>
      </c>
      <c r="K248" s="3" t="e">
        <f>VLOOKUP(A248,LookupLists!$I$3:$L$60,4,FALSE)</f>
        <v>#N/A</v>
      </c>
      <c r="L248" s="3" t="e">
        <f>VLOOKUP(C248,LookupLists!$A$3:$G$60,1,FALSE)</f>
        <v>#N/A</v>
      </c>
      <c r="M248" s="3" t="e">
        <f>VLOOKUP(C248,LookupLists!$A$3:$G$60,4,FALSE)</f>
        <v>#N/A</v>
      </c>
      <c r="N248" s="3" t="e">
        <f>VLOOKUP(C248,LookupLists!$A$3:$G$60,2,FALSE)</f>
        <v>#N/A</v>
      </c>
      <c r="O248" s="3" t="e">
        <f>VLOOKUP(C248,LookupLists!$A$3:$G$60,3,FALSE)</f>
        <v>#N/A</v>
      </c>
      <c r="P248" s="3" t="e">
        <f>VLOOKUP(C248,LookupLists!$A$3:$G$60,5,FALSE)</f>
        <v>#N/A</v>
      </c>
      <c r="Q248" s="3" t="e">
        <f>VLOOKUP(C248,LookupLists!$A$3:$G$60,6,FALSE)</f>
        <v>#N/A</v>
      </c>
      <c r="R248" s="4" t="e">
        <f>VLOOKUP(C248,LookupLists!$A$3:$G$60,7,FALSE)</f>
        <v>#N/A</v>
      </c>
      <c r="S248" s="3" t="e">
        <f>VLOOKUP(D248,LookupLists!$N$4:$T$60,1,FALSE)</f>
        <v>#N/A</v>
      </c>
      <c r="T248" s="3" t="e">
        <f>VLOOKUP(D248,LookupLists!$N$4:$T$60,2,FALSE)</f>
        <v>#N/A</v>
      </c>
      <c r="U248" s="3" t="e">
        <f>VLOOKUP(D248,LookupLists!$N$4:$T$60,3,FALSE)</f>
        <v>#N/A</v>
      </c>
      <c r="V248" s="3" t="e">
        <f>VLOOKUP(D248,LookupLists!$N$4:$T$60,5,FALSE)</f>
        <v>#N/A</v>
      </c>
    </row>
    <row r="249" spans="5:22" x14ac:dyDescent="0.3">
      <c r="E249" s="3" t="str">
        <f t="shared" si="3"/>
        <v/>
      </c>
      <c r="F249" s="3" t="str">
        <f xml:space="preserve"> IF(E249="","",  IFERROR(VLOOKUP(D249,LookupLists!$N$3:$T$60,6,FALSE)-LEN(E249),0))</f>
        <v/>
      </c>
      <c r="G249" s="3" t="str">
        <f>IF(E249="","",IFERROR(matches(E249,VLOOKUP(D249,LookupLists!$N$3:$T$60,7,FALSE)),FALSE))</f>
        <v/>
      </c>
      <c r="H249" s="3" t="e">
        <f>VLOOKUP(A249,LookupLists!$I$3:$L$60,1,FALSE)</f>
        <v>#N/A</v>
      </c>
      <c r="I249" s="3" t="e">
        <f>VLOOKUP(A249,LookupLists!$I$3:$L$60,2,FALSE)</f>
        <v>#N/A</v>
      </c>
      <c r="J249" s="3" t="e">
        <f>VLOOKUP(A249,LookupLists!$I$3:$L$60,3,FALSE)</f>
        <v>#N/A</v>
      </c>
      <c r="K249" s="3" t="e">
        <f>VLOOKUP(A249,LookupLists!$I$3:$L$60,4,FALSE)</f>
        <v>#N/A</v>
      </c>
      <c r="L249" s="3" t="e">
        <f>VLOOKUP(C249,LookupLists!$A$3:$G$60,1,FALSE)</f>
        <v>#N/A</v>
      </c>
      <c r="M249" s="3" t="e">
        <f>VLOOKUP(C249,LookupLists!$A$3:$G$60,4,FALSE)</f>
        <v>#N/A</v>
      </c>
      <c r="N249" s="3" t="e">
        <f>VLOOKUP(C249,LookupLists!$A$3:$G$60,2,FALSE)</f>
        <v>#N/A</v>
      </c>
      <c r="O249" s="3" t="e">
        <f>VLOOKUP(C249,LookupLists!$A$3:$G$60,3,FALSE)</f>
        <v>#N/A</v>
      </c>
      <c r="P249" s="3" t="e">
        <f>VLOOKUP(C249,LookupLists!$A$3:$G$60,5,FALSE)</f>
        <v>#N/A</v>
      </c>
      <c r="Q249" s="3" t="e">
        <f>VLOOKUP(C249,LookupLists!$A$3:$G$60,6,FALSE)</f>
        <v>#N/A</v>
      </c>
      <c r="R249" s="4" t="e">
        <f>VLOOKUP(C249,LookupLists!$A$3:$G$60,7,FALSE)</f>
        <v>#N/A</v>
      </c>
      <c r="S249" s="3" t="e">
        <f>VLOOKUP(D249,LookupLists!$N$4:$T$60,1,FALSE)</f>
        <v>#N/A</v>
      </c>
      <c r="T249" s="3" t="e">
        <f>VLOOKUP(D249,LookupLists!$N$4:$T$60,2,FALSE)</f>
        <v>#N/A</v>
      </c>
      <c r="U249" s="3" t="e">
        <f>VLOOKUP(D249,LookupLists!$N$4:$T$60,3,FALSE)</f>
        <v>#N/A</v>
      </c>
      <c r="V249" s="3" t="e">
        <f>VLOOKUP(D249,LookupLists!$N$4:$T$60,5,FALSE)</f>
        <v>#N/A</v>
      </c>
    </row>
    <row r="250" spans="5:22" x14ac:dyDescent="0.3">
      <c r="E250" s="3" t="str">
        <f t="shared" si="3"/>
        <v/>
      </c>
      <c r="F250" s="3" t="str">
        <f xml:space="preserve"> IF(E250="","",  IFERROR(VLOOKUP(D250,LookupLists!$N$3:$T$60,6,FALSE)-LEN(E250),0))</f>
        <v/>
      </c>
      <c r="G250" s="3" t="str">
        <f>IF(E250="","",IFERROR(matches(E250,VLOOKUP(D250,LookupLists!$N$3:$T$60,7,FALSE)),FALSE))</f>
        <v/>
      </c>
      <c r="H250" s="3" t="e">
        <f>VLOOKUP(A250,LookupLists!$I$3:$L$60,1,FALSE)</f>
        <v>#N/A</v>
      </c>
      <c r="I250" s="3" t="e">
        <f>VLOOKUP(A250,LookupLists!$I$3:$L$60,2,FALSE)</f>
        <v>#N/A</v>
      </c>
      <c r="J250" s="3" t="e">
        <f>VLOOKUP(A250,LookupLists!$I$3:$L$60,3,FALSE)</f>
        <v>#N/A</v>
      </c>
      <c r="K250" s="3" t="e">
        <f>VLOOKUP(A250,LookupLists!$I$3:$L$60,4,FALSE)</f>
        <v>#N/A</v>
      </c>
      <c r="L250" s="3" t="e">
        <f>VLOOKUP(C250,LookupLists!$A$3:$G$60,1,FALSE)</f>
        <v>#N/A</v>
      </c>
      <c r="M250" s="3" t="e">
        <f>VLOOKUP(C250,LookupLists!$A$3:$G$60,4,FALSE)</f>
        <v>#N/A</v>
      </c>
      <c r="N250" s="3" t="e">
        <f>VLOOKUP(C250,LookupLists!$A$3:$G$60,2,FALSE)</f>
        <v>#N/A</v>
      </c>
      <c r="O250" s="3" t="e">
        <f>VLOOKUP(C250,LookupLists!$A$3:$G$60,3,FALSE)</f>
        <v>#N/A</v>
      </c>
      <c r="P250" s="3" t="e">
        <f>VLOOKUP(C250,LookupLists!$A$3:$G$60,5,FALSE)</f>
        <v>#N/A</v>
      </c>
      <c r="Q250" s="3" t="e">
        <f>VLOOKUP(C250,LookupLists!$A$3:$G$60,6,FALSE)</f>
        <v>#N/A</v>
      </c>
      <c r="R250" s="4" t="e">
        <f>VLOOKUP(C250,LookupLists!$A$3:$G$60,7,FALSE)</f>
        <v>#N/A</v>
      </c>
      <c r="S250" s="3" t="e">
        <f>VLOOKUP(D250,LookupLists!$N$4:$T$60,1,FALSE)</f>
        <v>#N/A</v>
      </c>
      <c r="T250" s="3" t="e">
        <f>VLOOKUP(D250,LookupLists!$N$4:$T$60,2,FALSE)</f>
        <v>#N/A</v>
      </c>
      <c r="U250" s="3" t="e">
        <f>VLOOKUP(D250,LookupLists!$N$4:$T$60,3,FALSE)</f>
        <v>#N/A</v>
      </c>
      <c r="V250" s="3" t="e">
        <f>VLOOKUP(D250,LookupLists!$N$4:$T$60,5,FALSE)</f>
        <v>#N/A</v>
      </c>
    </row>
    <row r="251" spans="5:22" x14ac:dyDescent="0.3">
      <c r="E251" s="3" t="str">
        <f t="shared" si="3"/>
        <v/>
      </c>
      <c r="F251" s="3" t="str">
        <f xml:space="preserve"> IF(E251="","",  IFERROR(VLOOKUP(D251,LookupLists!$N$3:$T$60,6,FALSE)-LEN(E251),0))</f>
        <v/>
      </c>
      <c r="G251" s="3" t="str">
        <f>IF(E251="","",IFERROR(matches(E251,VLOOKUP(D251,LookupLists!$N$3:$T$60,7,FALSE)),FALSE))</f>
        <v/>
      </c>
      <c r="H251" s="3" t="e">
        <f>VLOOKUP(A251,LookupLists!$I$3:$L$60,1,FALSE)</f>
        <v>#N/A</v>
      </c>
      <c r="I251" s="3" t="e">
        <f>VLOOKUP(A251,LookupLists!$I$3:$L$60,2,FALSE)</f>
        <v>#N/A</v>
      </c>
      <c r="J251" s="3" t="e">
        <f>VLOOKUP(A251,LookupLists!$I$3:$L$60,3,FALSE)</f>
        <v>#N/A</v>
      </c>
      <c r="K251" s="3" t="e">
        <f>VLOOKUP(A251,LookupLists!$I$3:$L$60,4,FALSE)</f>
        <v>#N/A</v>
      </c>
      <c r="L251" s="3" t="e">
        <f>VLOOKUP(C251,LookupLists!$A$3:$G$60,1,FALSE)</f>
        <v>#N/A</v>
      </c>
      <c r="M251" s="3" t="e">
        <f>VLOOKUP(C251,LookupLists!$A$3:$G$60,4,FALSE)</f>
        <v>#N/A</v>
      </c>
      <c r="N251" s="3" t="e">
        <f>VLOOKUP(C251,LookupLists!$A$3:$G$60,2,FALSE)</f>
        <v>#N/A</v>
      </c>
      <c r="O251" s="3" t="e">
        <f>VLOOKUP(C251,LookupLists!$A$3:$G$60,3,FALSE)</f>
        <v>#N/A</v>
      </c>
      <c r="P251" s="3" t="e">
        <f>VLOOKUP(C251,LookupLists!$A$3:$G$60,5,FALSE)</f>
        <v>#N/A</v>
      </c>
      <c r="Q251" s="3" t="e">
        <f>VLOOKUP(C251,LookupLists!$A$3:$G$60,6,FALSE)</f>
        <v>#N/A</v>
      </c>
      <c r="R251" s="4" t="e">
        <f>VLOOKUP(C251,LookupLists!$A$3:$G$60,7,FALSE)</f>
        <v>#N/A</v>
      </c>
      <c r="S251" s="3" t="e">
        <f>VLOOKUP(D251,LookupLists!$N$4:$T$60,1,FALSE)</f>
        <v>#N/A</v>
      </c>
      <c r="T251" s="3" t="e">
        <f>VLOOKUP(D251,LookupLists!$N$4:$T$60,2,FALSE)</f>
        <v>#N/A</v>
      </c>
      <c r="U251" s="3" t="e">
        <f>VLOOKUP(D251,LookupLists!$N$4:$T$60,3,FALSE)</f>
        <v>#N/A</v>
      </c>
      <c r="V251" s="3" t="e">
        <f>VLOOKUP(D251,LookupLists!$N$4:$T$60,5,FALSE)</f>
        <v>#N/A</v>
      </c>
    </row>
    <row r="252" spans="5:22" x14ac:dyDescent="0.3">
      <c r="E252" s="3" t="str">
        <f t="shared" si="3"/>
        <v/>
      </c>
      <c r="F252" s="3" t="str">
        <f xml:space="preserve"> IF(E252="","",  IFERROR(VLOOKUP(D252,LookupLists!$N$3:$T$60,6,FALSE)-LEN(E252),0))</f>
        <v/>
      </c>
      <c r="G252" s="3" t="str">
        <f>IF(E252="","",IFERROR(matches(E252,VLOOKUP(D252,LookupLists!$N$3:$T$60,7,FALSE)),FALSE))</f>
        <v/>
      </c>
      <c r="H252" s="3" t="e">
        <f>VLOOKUP(A252,LookupLists!$I$3:$L$60,1,FALSE)</f>
        <v>#N/A</v>
      </c>
      <c r="I252" s="3" t="e">
        <f>VLOOKUP(A252,LookupLists!$I$3:$L$60,2,FALSE)</f>
        <v>#N/A</v>
      </c>
      <c r="J252" s="3" t="e">
        <f>VLOOKUP(A252,LookupLists!$I$3:$L$60,3,FALSE)</f>
        <v>#N/A</v>
      </c>
      <c r="K252" s="3" t="e">
        <f>VLOOKUP(A252,LookupLists!$I$3:$L$60,4,FALSE)</f>
        <v>#N/A</v>
      </c>
      <c r="L252" s="3" t="e">
        <f>VLOOKUP(C252,LookupLists!$A$3:$G$60,1,FALSE)</f>
        <v>#N/A</v>
      </c>
      <c r="M252" s="3" t="e">
        <f>VLOOKUP(C252,LookupLists!$A$3:$G$60,4,FALSE)</f>
        <v>#N/A</v>
      </c>
      <c r="N252" s="3" t="e">
        <f>VLOOKUP(C252,LookupLists!$A$3:$G$60,2,FALSE)</f>
        <v>#N/A</v>
      </c>
      <c r="O252" s="3" t="e">
        <f>VLOOKUP(C252,LookupLists!$A$3:$G$60,3,FALSE)</f>
        <v>#N/A</v>
      </c>
      <c r="P252" s="3" t="e">
        <f>VLOOKUP(C252,LookupLists!$A$3:$G$60,5,FALSE)</f>
        <v>#N/A</v>
      </c>
      <c r="Q252" s="3" t="e">
        <f>VLOOKUP(C252,LookupLists!$A$3:$G$60,6,FALSE)</f>
        <v>#N/A</v>
      </c>
      <c r="R252" s="4" t="e">
        <f>VLOOKUP(C252,LookupLists!$A$3:$G$60,7,FALSE)</f>
        <v>#N/A</v>
      </c>
      <c r="S252" s="3" t="e">
        <f>VLOOKUP(D252,LookupLists!$N$4:$T$60,1,FALSE)</f>
        <v>#N/A</v>
      </c>
      <c r="T252" s="3" t="e">
        <f>VLOOKUP(D252,LookupLists!$N$4:$T$60,2,FALSE)</f>
        <v>#N/A</v>
      </c>
      <c r="U252" s="3" t="e">
        <f>VLOOKUP(D252,LookupLists!$N$4:$T$60,3,FALSE)</f>
        <v>#N/A</v>
      </c>
      <c r="V252" s="3" t="e">
        <f>VLOOKUP(D252,LookupLists!$N$4:$T$60,5,FALSE)</f>
        <v>#N/A</v>
      </c>
    </row>
    <row r="253" spans="5:22" x14ac:dyDescent="0.3">
      <c r="E253" s="3" t="str">
        <f t="shared" si="3"/>
        <v/>
      </c>
      <c r="F253" s="3" t="str">
        <f xml:space="preserve"> IF(E253="","",  IFERROR(VLOOKUP(D253,LookupLists!$N$3:$T$60,6,FALSE)-LEN(E253),0))</f>
        <v/>
      </c>
      <c r="G253" s="3" t="str">
        <f>IF(E253="","",IFERROR(matches(E253,VLOOKUP(D253,LookupLists!$N$3:$T$60,7,FALSE)),FALSE))</f>
        <v/>
      </c>
      <c r="H253" s="3" t="e">
        <f>VLOOKUP(A253,LookupLists!$I$3:$L$60,1,FALSE)</f>
        <v>#N/A</v>
      </c>
      <c r="I253" s="3" t="e">
        <f>VLOOKUP(A253,LookupLists!$I$3:$L$60,2,FALSE)</f>
        <v>#N/A</v>
      </c>
      <c r="J253" s="3" t="e">
        <f>VLOOKUP(A253,LookupLists!$I$3:$L$60,3,FALSE)</f>
        <v>#N/A</v>
      </c>
      <c r="K253" s="3" t="e">
        <f>VLOOKUP(A253,LookupLists!$I$3:$L$60,4,FALSE)</f>
        <v>#N/A</v>
      </c>
      <c r="L253" s="3" t="e">
        <f>VLOOKUP(C253,LookupLists!$A$3:$G$60,1,FALSE)</f>
        <v>#N/A</v>
      </c>
      <c r="M253" s="3" t="e">
        <f>VLOOKUP(C253,LookupLists!$A$3:$G$60,4,FALSE)</f>
        <v>#N/A</v>
      </c>
      <c r="N253" s="3" t="e">
        <f>VLOOKUP(C253,LookupLists!$A$3:$G$60,2,FALSE)</f>
        <v>#N/A</v>
      </c>
      <c r="O253" s="3" t="e">
        <f>VLOOKUP(C253,LookupLists!$A$3:$G$60,3,FALSE)</f>
        <v>#N/A</v>
      </c>
      <c r="P253" s="3" t="e">
        <f>VLOOKUP(C253,LookupLists!$A$3:$G$60,5,FALSE)</f>
        <v>#N/A</v>
      </c>
      <c r="Q253" s="3" t="e">
        <f>VLOOKUP(C253,LookupLists!$A$3:$G$60,6,FALSE)</f>
        <v>#N/A</v>
      </c>
      <c r="R253" s="4" t="e">
        <f>VLOOKUP(C253,LookupLists!$A$3:$G$60,7,FALSE)</f>
        <v>#N/A</v>
      </c>
      <c r="S253" s="3" t="e">
        <f>VLOOKUP(D253,LookupLists!$N$4:$T$60,1,FALSE)</f>
        <v>#N/A</v>
      </c>
      <c r="T253" s="3" t="e">
        <f>VLOOKUP(D253,LookupLists!$N$4:$T$60,2,FALSE)</f>
        <v>#N/A</v>
      </c>
      <c r="U253" s="3" t="e">
        <f>VLOOKUP(D253,LookupLists!$N$4:$T$60,3,FALSE)</f>
        <v>#N/A</v>
      </c>
      <c r="V253" s="3" t="e">
        <f>VLOOKUP(D253,LookupLists!$N$4:$T$60,5,FALSE)</f>
        <v>#N/A</v>
      </c>
    </row>
    <row r="254" spans="5:22" x14ac:dyDescent="0.3">
      <c r="E254" s="3" t="str">
        <f t="shared" si="3"/>
        <v/>
      </c>
      <c r="F254" s="3" t="str">
        <f xml:space="preserve"> IF(E254="","",  IFERROR(VLOOKUP(D254,LookupLists!$N$3:$T$60,6,FALSE)-LEN(E254),0))</f>
        <v/>
      </c>
      <c r="G254" s="3" t="str">
        <f>IF(E254="","",IFERROR(matches(E254,VLOOKUP(D254,LookupLists!$N$3:$T$60,7,FALSE)),FALSE))</f>
        <v/>
      </c>
      <c r="H254" s="3" t="e">
        <f>VLOOKUP(A254,LookupLists!$I$3:$L$60,1,FALSE)</f>
        <v>#N/A</v>
      </c>
      <c r="I254" s="3" t="e">
        <f>VLOOKUP(A254,LookupLists!$I$3:$L$60,2,FALSE)</f>
        <v>#N/A</v>
      </c>
      <c r="J254" s="3" t="e">
        <f>VLOOKUP(A254,LookupLists!$I$3:$L$60,3,FALSE)</f>
        <v>#N/A</v>
      </c>
      <c r="K254" s="3" t="e">
        <f>VLOOKUP(A254,LookupLists!$I$3:$L$60,4,FALSE)</f>
        <v>#N/A</v>
      </c>
      <c r="L254" s="3" t="e">
        <f>VLOOKUP(C254,LookupLists!$A$3:$G$60,1,FALSE)</f>
        <v>#N/A</v>
      </c>
      <c r="M254" s="3" t="e">
        <f>VLOOKUP(C254,LookupLists!$A$3:$G$60,4,FALSE)</f>
        <v>#N/A</v>
      </c>
      <c r="N254" s="3" t="e">
        <f>VLOOKUP(C254,LookupLists!$A$3:$G$60,2,FALSE)</f>
        <v>#N/A</v>
      </c>
      <c r="O254" s="3" t="e">
        <f>VLOOKUP(C254,LookupLists!$A$3:$G$60,3,FALSE)</f>
        <v>#N/A</v>
      </c>
      <c r="P254" s="3" t="e">
        <f>VLOOKUP(C254,LookupLists!$A$3:$G$60,5,FALSE)</f>
        <v>#N/A</v>
      </c>
      <c r="Q254" s="3" t="e">
        <f>VLOOKUP(C254,LookupLists!$A$3:$G$60,6,FALSE)</f>
        <v>#N/A</v>
      </c>
      <c r="R254" s="4" t="e">
        <f>VLOOKUP(C254,LookupLists!$A$3:$G$60,7,FALSE)</f>
        <v>#N/A</v>
      </c>
      <c r="S254" s="3" t="e">
        <f>VLOOKUP(D254,LookupLists!$N$4:$T$60,1,FALSE)</f>
        <v>#N/A</v>
      </c>
      <c r="T254" s="3" t="e">
        <f>VLOOKUP(D254,LookupLists!$N$4:$T$60,2,FALSE)</f>
        <v>#N/A</v>
      </c>
      <c r="U254" s="3" t="e">
        <f>VLOOKUP(D254,LookupLists!$N$4:$T$60,3,FALSE)</f>
        <v>#N/A</v>
      </c>
      <c r="V254" s="3" t="e">
        <f>VLOOKUP(D254,LookupLists!$N$4:$T$60,5,FALSE)</f>
        <v>#N/A</v>
      </c>
    </row>
    <row r="255" spans="5:22" x14ac:dyDescent="0.3">
      <c r="E255" s="3" t="str">
        <f t="shared" si="3"/>
        <v/>
      </c>
      <c r="F255" s="3" t="str">
        <f xml:space="preserve"> IF(E255="","",  IFERROR(VLOOKUP(D255,LookupLists!$N$3:$T$60,6,FALSE)-LEN(E255),0))</f>
        <v/>
      </c>
      <c r="G255" s="3" t="str">
        <f>IF(E255="","",IFERROR(matches(E255,VLOOKUP(D255,LookupLists!$N$3:$T$60,7,FALSE)),FALSE))</f>
        <v/>
      </c>
      <c r="H255" s="3" t="e">
        <f>VLOOKUP(A255,LookupLists!$I$3:$L$60,1,FALSE)</f>
        <v>#N/A</v>
      </c>
      <c r="I255" s="3" t="e">
        <f>VLOOKUP(A255,LookupLists!$I$3:$L$60,2,FALSE)</f>
        <v>#N/A</v>
      </c>
      <c r="J255" s="3" t="e">
        <f>VLOOKUP(A255,LookupLists!$I$3:$L$60,3,FALSE)</f>
        <v>#N/A</v>
      </c>
      <c r="K255" s="3" t="e">
        <f>VLOOKUP(A255,LookupLists!$I$3:$L$60,4,FALSE)</f>
        <v>#N/A</v>
      </c>
      <c r="L255" s="3" t="e">
        <f>VLOOKUP(C255,LookupLists!$A$3:$G$60,1,FALSE)</f>
        <v>#N/A</v>
      </c>
      <c r="M255" s="3" t="e">
        <f>VLOOKUP(C255,LookupLists!$A$3:$G$60,4,FALSE)</f>
        <v>#N/A</v>
      </c>
      <c r="N255" s="3" t="e">
        <f>VLOOKUP(C255,LookupLists!$A$3:$G$60,2,FALSE)</f>
        <v>#N/A</v>
      </c>
      <c r="O255" s="3" t="e">
        <f>VLOOKUP(C255,LookupLists!$A$3:$G$60,3,FALSE)</f>
        <v>#N/A</v>
      </c>
      <c r="P255" s="3" t="e">
        <f>VLOOKUP(C255,LookupLists!$A$3:$G$60,5,FALSE)</f>
        <v>#N/A</v>
      </c>
      <c r="Q255" s="3" t="e">
        <f>VLOOKUP(C255,LookupLists!$A$3:$G$60,6,FALSE)</f>
        <v>#N/A</v>
      </c>
      <c r="R255" s="4" t="e">
        <f>VLOOKUP(C255,LookupLists!$A$3:$G$60,7,FALSE)</f>
        <v>#N/A</v>
      </c>
      <c r="S255" s="3" t="e">
        <f>VLOOKUP(D255,LookupLists!$N$4:$T$60,1,FALSE)</f>
        <v>#N/A</v>
      </c>
      <c r="T255" s="3" t="e">
        <f>VLOOKUP(D255,LookupLists!$N$4:$T$60,2,FALSE)</f>
        <v>#N/A</v>
      </c>
      <c r="U255" s="3" t="e">
        <f>VLOOKUP(D255,LookupLists!$N$4:$T$60,3,FALSE)</f>
        <v>#N/A</v>
      </c>
      <c r="V255" s="3" t="e">
        <f>VLOOKUP(D255,LookupLists!$N$4:$T$60,5,FALSE)</f>
        <v>#N/A</v>
      </c>
    </row>
    <row r="256" spans="5:22" x14ac:dyDescent="0.3">
      <c r="E256" s="3" t="str">
        <f t="shared" si="3"/>
        <v/>
      </c>
      <c r="F256" s="3" t="str">
        <f xml:space="preserve"> IF(E256="","",  IFERROR(VLOOKUP(D256,LookupLists!$N$3:$T$60,6,FALSE)-LEN(E256),0))</f>
        <v/>
      </c>
      <c r="G256" s="3" t="str">
        <f>IF(E256="","",IFERROR(matches(E256,VLOOKUP(D256,LookupLists!$N$3:$T$60,7,FALSE)),FALSE))</f>
        <v/>
      </c>
      <c r="H256" s="3" t="e">
        <f>VLOOKUP(A256,LookupLists!$I$3:$L$60,1,FALSE)</f>
        <v>#N/A</v>
      </c>
      <c r="I256" s="3" t="e">
        <f>VLOOKUP(A256,LookupLists!$I$3:$L$60,2,FALSE)</f>
        <v>#N/A</v>
      </c>
      <c r="J256" s="3" t="e">
        <f>VLOOKUP(A256,LookupLists!$I$3:$L$60,3,FALSE)</f>
        <v>#N/A</v>
      </c>
      <c r="K256" s="3" t="e">
        <f>VLOOKUP(A256,LookupLists!$I$3:$L$60,4,FALSE)</f>
        <v>#N/A</v>
      </c>
      <c r="L256" s="3" t="e">
        <f>VLOOKUP(C256,LookupLists!$A$3:$G$60,1,FALSE)</f>
        <v>#N/A</v>
      </c>
      <c r="M256" s="3" t="e">
        <f>VLOOKUP(C256,LookupLists!$A$3:$G$60,4,FALSE)</f>
        <v>#N/A</v>
      </c>
      <c r="N256" s="3" t="e">
        <f>VLOOKUP(C256,LookupLists!$A$3:$G$60,2,FALSE)</f>
        <v>#N/A</v>
      </c>
      <c r="O256" s="3" t="e">
        <f>VLOOKUP(C256,LookupLists!$A$3:$G$60,3,FALSE)</f>
        <v>#N/A</v>
      </c>
      <c r="P256" s="3" t="e">
        <f>VLOOKUP(C256,LookupLists!$A$3:$G$60,5,FALSE)</f>
        <v>#N/A</v>
      </c>
      <c r="Q256" s="3" t="e">
        <f>VLOOKUP(C256,LookupLists!$A$3:$G$60,6,FALSE)</f>
        <v>#N/A</v>
      </c>
      <c r="R256" s="4" t="e">
        <f>VLOOKUP(C256,LookupLists!$A$3:$G$60,7,FALSE)</f>
        <v>#N/A</v>
      </c>
      <c r="S256" s="3" t="e">
        <f>VLOOKUP(D256,LookupLists!$N$4:$T$60,1,FALSE)</f>
        <v>#N/A</v>
      </c>
      <c r="T256" s="3" t="e">
        <f>VLOOKUP(D256,LookupLists!$N$4:$T$60,2,FALSE)</f>
        <v>#N/A</v>
      </c>
      <c r="U256" s="3" t="e">
        <f>VLOOKUP(D256,LookupLists!$N$4:$T$60,3,FALSE)</f>
        <v>#N/A</v>
      </c>
      <c r="V256" s="3" t="e">
        <f>VLOOKUP(D256,LookupLists!$N$4:$T$60,5,FALSE)</f>
        <v>#N/A</v>
      </c>
    </row>
    <row r="257" spans="5:22" x14ac:dyDescent="0.3">
      <c r="E257" s="3" t="str">
        <f t="shared" si="3"/>
        <v/>
      </c>
      <c r="F257" s="3" t="str">
        <f xml:space="preserve"> IF(E257="","",  IFERROR(VLOOKUP(D257,LookupLists!$N$3:$T$60,6,FALSE)-LEN(E257),0))</f>
        <v/>
      </c>
      <c r="G257" s="3" t="str">
        <f>IF(E257="","",IFERROR(matches(E257,VLOOKUP(D257,LookupLists!$N$3:$T$60,7,FALSE)),FALSE))</f>
        <v/>
      </c>
      <c r="H257" s="3" t="e">
        <f>VLOOKUP(A257,LookupLists!$I$3:$L$60,1,FALSE)</f>
        <v>#N/A</v>
      </c>
      <c r="I257" s="3" t="e">
        <f>VLOOKUP(A257,LookupLists!$I$3:$L$60,2,FALSE)</f>
        <v>#N/A</v>
      </c>
      <c r="J257" s="3" t="e">
        <f>VLOOKUP(A257,LookupLists!$I$3:$L$60,3,FALSE)</f>
        <v>#N/A</v>
      </c>
      <c r="K257" s="3" t="e">
        <f>VLOOKUP(A257,LookupLists!$I$3:$L$60,4,FALSE)</f>
        <v>#N/A</v>
      </c>
      <c r="L257" s="3" t="e">
        <f>VLOOKUP(C257,LookupLists!$A$3:$G$60,1,FALSE)</f>
        <v>#N/A</v>
      </c>
      <c r="M257" s="3" t="e">
        <f>VLOOKUP(C257,LookupLists!$A$3:$G$60,4,FALSE)</f>
        <v>#N/A</v>
      </c>
      <c r="N257" s="3" t="e">
        <f>VLOOKUP(C257,LookupLists!$A$3:$G$60,2,FALSE)</f>
        <v>#N/A</v>
      </c>
      <c r="O257" s="3" t="e">
        <f>VLOOKUP(C257,LookupLists!$A$3:$G$60,3,FALSE)</f>
        <v>#N/A</v>
      </c>
      <c r="P257" s="3" t="e">
        <f>VLOOKUP(C257,LookupLists!$A$3:$G$60,5,FALSE)</f>
        <v>#N/A</v>
      </c>
      <c r="Q257" s="3" t="e">
        <f>VLOOKUP(C257,LookupLists!$A$3:$G$60,6,FALSE)</f>
        <v>#N/A</v>
      </c>
      <c r="R257" s="4" t="e">
        <f>VLOOKUP(C257,LookupLists!$A$3:$G$60,7,FALSE)</f>
        <v>#N/A</v>
      </c>
      <c r="S257" s="3" t="e">
        <f>VLOOKUP(D257,LookupLists!$N$4:$T$60,1,FALSE)</f>
        <v>#N/A</v>
      </c>
      <c r="T257" s="3" t="e">
        <f>VLOOKUP(D257,LookupLists!$N$4:$T$60,2,FALSE)</f>
        <v>#N/A</v>
      </c>
      <c r="U257" s="3" t="e">
        <f>VLOOKUP(D257,LookupLists!$N$4:$T$60,3,FALSE)</f>
        <v>#N/A</v>
      </c>
      <c r="V257" s="3" t="e">
        <f>VLOOKUP(D257,LookupLists!$N$4:$T$60,5,FALSE)</f>
        <v>#N/A</v>
      </c>
    </row>
    <row r="258" spans="5:22" x14ac:dyDescent="0.3">
      <c r="E258" s="3" t="str">
        <f t="shared" si="3"/>
        <v/>
      </c>
      <c r="F258" s="3" t="str">
        <f xml:space="preserve"> IF(E258="","",  IFERROR(VLOOKUP(D258,LookupLists!$N$3:$T$60,6,FALSE)-LEN(E258),0))</f>
        <v/>
      </c>
      <c r="G258" s="3" t="str">
        <f>IF(E258="","",IFERROR(matches(E258,VLOOKUP(D258,LookupLists!$N$3:$T$60,7,FALSE)),FALSE))</f>
        <v/>
      </c>
      <c r="H258" s="3" t="e">
        <f>VLOOKUP(A258,LookupLists!$I$3:$L$60,1,FALSE)</f>
        <v>#N/A</v>
      </c>
      <c r="I258" s="3" t="e">
        <f>VLOOKUP(A258,LookupLists!$I$3:$L$60,2,FALSE)</f>
        <v>#N/A</v>
      </c>
      <c r="J258" s="3" t="e">
        <f>VLOOKUP(A258,LookupLists!$I$3:$L$60,3,FALSE)</f>
        <v>#N/A</v>
      </c>
      <c r="K258" s="3" t="e">
        <f>VLOOKUP(A258,LookupLists!$I$3:$L$60,4,FALSE)</f>
        <v>#N/A</v>
      </c>
      <c r="L258" s="3" t="e">
        <f>VLOOKUP(C258,LookupLists!$A$3:$G$60,1,FALSE)</f>
        <v>#N/A</v>
      </c>
      <c r="M258" s="3" t="e">
        <f>VLOOKUP(C258,LookupLists!$A$3:$G$60,4,FALSE)</f>
        <v>#N/A</v>
      </c>
      <c r="N258" s="3" t="e">
        <f>VLOOKUP(C258,LookupLists!$A$3:$G$60,2,FALSE)</f>
        <v>#N/A</v>
      </c>
      <c r="O258" s="3" t="e">
        <f>VLOOKUP(C258,LookupLists!$A$3:$G$60,3,FALSE)</f>
        <v>#N/A</v>
      </c>
      <c r="P258" s="3" t="e">
        <f>VLOOKUP(C258,LookupLists!$A$3:$G$60,5,FALSE)</f>
        <v>#N/A</v>
      </c>
      <c r="Q258" s="3" t="e">
        <f>VLOOKUP(C258,LookupLists!$A$3:$G$60,6,FALSE)</f>
        <v>#N/A</v>
      </c>
      <c r="R258" s="4" t="e">
        <f>VLOOKUP(C258,LookupLists!$A$3:$G$60,7,FALSE)</f>
        <v>#N/A</v>
      </c>
      <c r="S258" s="3" t="e">
        <f>VLOOKUP(D258,LookupLists!$N$4:$T$60,1,FALSE)</f>
        <v>#N/A</v>
      </c>
      <c r="T258" s="3" t="e">
        <f>VLOOKUP(D258,LookupLists!$N$4:$T$60,2,FALSE)</f>
        <v>#N/A</v>
      </c>
      <c r="U258" s="3" t="e">
        <f>VLOOKUP(D258,LookupLists!$N$4:$T$60,3,FALSE)</f>
        <v>#N/A</v>
      </c>
      <c r="V258" s="3" t="e">
        <f>VLOOKUP(D258,LookupLists!$N$4:$T$60,5,FALSE)</f>
        <v>#N/A</v>
      </c>
    </row>
    <row r="259" spans="5:22" x14ac:dyDescent="0.3">
      <c r="E259" s="3" t="str">
        <f t="shared" si="3"/>
        <v/>
      </c>
      <c r="F259" s="3" t="str">
        <f xml:space="preserve"> IF(E259="","",  IFERROR(VLOOKUP(D259,LookupLists!$N$3:$T$60,6,FALSE)-LEN(E259),0))</f>
        <v/>
      </c>
      <c r="G259" s="3" t="str">
        <f>IF(E259="","",IFERROR(matches(E259,VLOOKUP(D259,LookupLists!$N$3:$T$60,7,FALSE)),FALSE))</f>
        <v/>
      </c>
      <c r="H259" s="3" t="e">
        <f>VLOOKUP(A259,LookupLists!$I$3:$L$60,1,FALSE)</f>
        <v>#N/A</v>
      </c>
      <c r="I259" s="3" t="e">
        <f>VLOOKUP(A259,LookupLists!$I$3:$L$60,2,FALSE)</f>
        <v>#N/A</v>
      </c>
      <c r="J259" s="3" t="e">
        <f>VLOOKUP(A259,LookupLists!$I$3:$L$60,3,FALSE)</f>
        <v>#N/A</v>
      </c>
      <c r="K259" s="3" t="e">
        <f>VLOOKUP(A259,LookupLists!$I$3:$L$60,4,FALSE)</f>
        <v>#N/A</v>
      </c>
      <c r="L259" s="3" t="e">
        <f>VLOOKUP(C259,LookupLists!$A$3:$G$60,1,FALSE)</f>
        <v>#N/A</v>
      </c>
      <c r="M259" s="3" t="e">
        <f>VLOOKUP(C259,LookupLists!$A$3:$G$60,4,FALSE)</f>
        <v>#N/A</v>
      </c>
      <c r="N259" s="3" t="e">
        <f>VLOOKUP(C259,LookupLists!$A$3:$G$60,2,FALSE)</f>
        <v>#N/A</v>
      </c>
      <c r="O259" s="3" t="e">
        <f>VLOOKUP(C259,LookupLists!$A$3:$G$60,3,FALSE)</f>
        <v>#N/A</v>
      </c>
      <c r="P259" s="3" t="e">
        <f>VLOOKUP(C259,LookupLists!$A$3:$G$60,5,FALSE)</f>
        <v>#N/A</v>
      </c>
      <c r="Q259" s="3" t="e">
        <f>VLOOKUP(C259,LookupLists!$A$3:$G$60,6,FALSE)</f>
        <v>#N/A</v>
      </c>
      <c r="R259" s="4" t="e">
        <f>VLOOKUP(C259,LookupLists!$A$3:$G$60,7,FALSE)</f>
        <v>#N/A</v>
      </c>
      <c r="S259" s="3" t="e">
        <f>VLOOKUP(D259,LookupLists!$N$4:$T$60,1,FALSE)</f>
        <v>#N/A</v>
      </c>
      <c r="T259" s="3" t="e">
        <f>VLOOKUP(D259,LookupLists!$N$4:$T$60,2,FALSE)</f>
        <v>#N/A</v>
      </c>
      <c r="U259" s="3" t="e">
        <f>VLOOKUP(D259,LookupLists!$N$4:$T$60,3,FALSE)</f>
        <v>#N/A</v>
      </c>
      <c r="V259" s="3" t="e">
        <f>VLOOKUP(D259,LookupLists!$N$4:$T$60,5,FALSE)</f>
        <v>#N/A</v>
      </c>
    </row>
    <row r="260" spans="5:22" x14ac:dyDescent="0.3">
      <c r="E260" s="3" t="str">
        <f t="shared" si="3"/>
        <v/>
      </c>
      <c r="F260" s="3" t="str">
        <f xml:space="preserve"> IF(E260="","",  IFERROR(VLOOKUP(D260,LookupLists!$N$3:$T$60,6,FALSE)-LEN(E260),0))</f>
        <v/>
      </c>
      <c r="G260" s="3" t="str">
        <f>IF(E260="","",IFERROR(matches(E260,VLOOKUP(D260,LookupLists!$N$3:$T$60,7,FALSE)),FALSE))</f>
        <v/>
      </c>
      <c r="H260" s="3" t="e">
        <f>VLOOKUP(A260,LookupLists!$I$3:$L$60,1,FALSE)</f>
        <v>#N/A</v>
      </c>
      <c r="I260" s="3" t="e">
        <f>VLOOKUP(A260,LookupLists!$I$3:$L$60,2,FALSE)</f>
        <v>#N/A</v>
      </c>
      <c r="J260" s="3" t="e">
        <f>VLOOKUP(A260,LookupLists!$I$3:$L$60,3,FALSE)</f>
        <v>#N/A</v>
      </c>
      <c r="K260" s="3" t="e">
        <f>VLOOKUP(A260,LookupLists!$I$3:$L$60,4,FALSE)</f>
        <v>#N/A</v>
      </c>
      <c r="L260" s="3" t="e">
        <f>VLOOKUP(C260,LookupLists!$A$3:$G$60,1,FALSE)</f>
        <v>#N/A</v>
      </c>
      <c r="M260" s="3" t="e">
        <f>VLOOKUP(C260,LookupLists!$A$3:$G$60,4,FALSE)</f>
        <v>#N/A</v>
      </c>
      <c r="N260" s="3" t="e">
        <f>VLOOKUP(C260,LookupLists!$A$3:$G$60,2,FALSE)</f>
        <v>#N/A</v>
      </c>
      <c r="O260" s="3" t="e">
        <f>VLOOKUP(C260,LookupLists!$A$3:$G$60,3,FALSE)</f>
        <v>#N/A</v>
      </c>
      <c r="P260" s="3" t="e">
        <f>VLOOKUP(C260,LookupLists!$A$3:$G$60,5,FALSE)</f>
        <v>#N/A</v>
      </c>
      <c r="Q260" s="3" t="e">
        <f>VLOOKUP(C260,LookupLists!$A$3:$G$60,6,FALSE)</f>
        <v>#N/A</v>
      </c>
      <c r="R260" s="4" t="e">
        <f>VLOOKUP(C260,LookupLists!$A$3:$G$60,7,FALSE)</f>
        <v>#N/A</v>
      </c>
      <c r="S260" s="3" t="e">
        <f>VLOOKUP(D260,LookupLists!$N$4:$T$60,1,FALSE)</f>
        <v>#N/A</v>
      </c>
      <c r="T260" s="3" t="e">
        <f>VLOOKUP(D260,LookupLists!$N$4:$T$60,2,FALSE)</f>
        <v>#N/A</v>
      </c>
      <c r="U260" s="3" t="e">
        <f>VLOOKUP(D260,LookupLists!$N$4:$T$60,3,FALSE)</f>
        <v>#N/A</v>
      </c>
      <c r="V260" s="3" t="e">
        <f>VLOOKUP(D260,LookupLists!$N$4:$T$60,5,FALSE)</f>
        <v>#N/A</v>
      </c>
    </row>
    <row r="261" spans="5:22" x14ac:dyDescent="0.3">
      <c r="E261" s="3" t="str">
        <f t="shared" si="3"/>
        <v/>
      </c>
      <c r="F261" s="3" t="str">
        <f xml:space="preserve"> IF(E261="","",  IFERROR(VLOOKUP(D261,LookupLists!$N$3:$T$60,6,FALSE)-LEN(E261),0))</f>
        <v/>
      </c>
      <c r="G261" s="3" t="str">
        <f>IF(E261="","",IFERROR(matches(E261,VLOOKUP(D261,LookupLists!$N$3:$T$60,7,FALSE)),FALSE))</f>
        <v/>
      </c>
      <c r="H261" s="3" t="e">
        <f>VLOOKUP(A261,LookupLists!$I$3:$L$60,1,FALSE)</f>
        <v>#N/A</v>
      </c>
      <c r="I261" s="3" t="e">
        <f>VLOOKUP(A261,LookupLists!$I$3:$L$60,2,FALSE)</f>
        <v>#N/A</v>
      </c>
      <c r="J261" s="3" t="e">
        <f>VLOOKUP(A261,LookupLists!$I$3:$L$60,3,FALSE)</f>
        <v>#N/A</v>
      </c>
      <c r="K261" s="3" t="e">
        <f>VLOOKUP(A261,LookupLists!$I$3:$L$60,4,FALSE)</f>
        <v>#N/A</v>
      </c>
      <c r="L261" s="3" t="e">
        <f>VLOOKUP(C261,LookupLists!$A$3:$G$60,1,FALSE)</f>
        <v>#N/A</v>
      </c>
      <c r="M261" s="3" t="e">
        <f>VLOOKUP(C261,LookupLists!$A$3:$G$60,4,FALSE)</f>
        <v>#N/A</v>
      </c>
      <c r="N261" s="3" t="e">
        <f>VLOOKUP(C261,LookupLists!$A$3:$G$60,2,FALSE)</f>
        <v>#N/A</v>
      </c>
      <c r="O261" s="3" t="e">
        <f>VLOOKUP(C261,LookupLists!$A$3:$G$60,3,FALSE)</f>
        <v>#N/A</v>
      </c>
      <c r="P261" s="3" t="e">
        <f>VLOOKUP(C261,LookupLists!$A$3:$G$60,5,FALSE)</f>
        <v>#N/A</v>
      </c>
      <c r="Q261" s="3" t="e">
        <f>VLOOKUP(C261,LookupLists!$A$3:$G$60,6,FALSE)</f>
        <v>#N/A</v>
      </c>
      <c r="R261" s="4" t="e">
        <f>VLOOKUP(C261,LookupLists!$A$3:$G$60,7,FALSE)</f>
        <v>#N/A</v>
      </c>
      <c r="S261" s="3" t="e">
        <f>VLOOKUP(D261,LookupLists!$N$4:$T$60,1,FALSE)</f>
        <v>#N/A</v>
      </c>
      <c r="T261" s="3" t="e">
        <f>VLOOKUP(D261,LookupLists!$N$4:$T$60,2,FALSE)</f>
        <v>#N/A</v>
      </c>
      <c r="U261" s="3" t="e">
        <f>VLOOKUP(D261,LookupLists!$N$4:$T$60,3,FALSE)</f>
        <v>#N/A</v>
      </c>
      <c r="V261" s="3" t="e">
        <f>VLOOKUP(D261,LookupLists!$N$4:$T$60,5,FALSE)</f>
        <v>#N/A</v>
      </c>
    </row>
    <row r="262" spans="5:22" x14ac:dyDescent="0.3">
      <c r="E262" s="3" t="str">
        <f t="shared" si="3"/>
        <v/>
      </c>
      <c r="F262" s="3" t="str">
        <f xml:space="preserve"> IF(E262="","",  IFERROR(VLOOKUP(D262,LookupLists!$N$3:$T$60,6,FALSE)-LEN(E262),0))</f>
        <v/>
      </c>
      <c r="G262" s="3" t="str">
        <f>IF(E262="","",IFERROR(matches(E262,VLOOKUP(D262,LookupLists!$N$3:$T$60,7,FALSE)),FALSE))</f>
        <v/>
      </c>
      <c r="H262" s="3" t="e">
        <f>VLOOKUP(A262,LookupLists!$I$3:$L$60,1,FALSE)</f>
        <v>#N/A</v>
      </c>
      <c r="I262" s="3" t="e">
        <f>VLOOKUP(A262,LookupLists!$I$3:$L$60,2,FALSE)</f>
        <v>#N/A</v>
      </c>
      <c r="J262" s="3" t="e">
        <f>VLOOKUP(A262,LookupLists!$I$3:$L$60,3,FALSE)</f>
        <v>#N/A</v>
      </c>
      <c r="K262" s="3" t="e">
        <f>VLOOKUP(A262,LookupLists!$I$3:$L$60,4,FALSE)</f>
        <v>#N/A</v>
      </c>
      <c r="L262" s="3" t="e">
        <f>VLOOKUP(C262,LookupLists!$A$3:$G$60,1,FALSE)</f>
        <v>#N/A</v>
      </c>
      <c r="M262" s="3" t="e">
        <f>VLOOKUP(C262,LookupLists!$A$3:$G$60,4,FALSE)</f>
        <v>#N/A</v>
      </c>
      <c r="N262" s="3" t="e">
        <f>VLOOKUP(C262,LookupLists!$A$3:$G$60,2,FALSE)</f>
        <v>#N/A</v>
      </c>
      <c r="O262" s="3" t="e">
        <f>VLOOKUP(C262,LookupLists!$A$3:$G$60,3,FALSE)</f>
        <v>#N/A</v>
      </c>
      <c r="P262" s="3" t="e">
        <f>VLOOKUP(C262,LookupLists!$A$3:$G$60,5,FALSE)</f>
        <v>#N/A</v>
      </c>
      <c r="Q262" s="3" t="e">
        <f>VLOOKUP(C262,LookupLists!$A$3:$G$60,6,FALSE)</f>
        <v>#N/A</v>
      </c>
      <c r="R262" s="4" t="e">
        <f>VLOOKUP(C262,LookupLists!$A$3:$G$60,7,FALSE)</f>
        <v>#N/A</v>
      </c>
      <c r="S262" s="3" t="e">
        <f>VLOOKUP(D262,LookupLists!$N$4:$T$60,1,FALSE)</f>
        <v>#N/A</v>
      </c>
      <c r="T262" s="3" t="e">
        <f>VLOOKUP(D262,LookupLists!$N$4:$T$60,2,FALSE)</f>
        <v>#N/A</v>
      </c>
      <c r="U262" s="3" t="e">
        <f>VLOOKUP(D262,LookupLists!$N$4:$T$60,3,FALSE)</f>
        <v>#N/A</v>
      </c>
      <c r="V262" s="3" t="e">
        <f>VLOOKUP(D262,LookupLists!$N$4:$T$60,5,FALSE)</f>
        <v>#N/A</v>
      </c>
    </row>
    <row r="263" spans="5:22" x14ac:dyDescent="0.3">
      <c r="E263" s="3" t="str">
        <f t="shared" si="3"/>
        <v/>
      </c>
      <c r="F263" s="3" t="str">
        <f xml:space="preserve"> IF(E263="","",  IFERROR(VLOOKUP(D263,LookupLists!$N$3:$T$60,6,FALSE)-LEN(E263),0))</f>
        <v/>
      </c>
      <c r="G263" s="3" t="str">
        <f>IF(E263="","",IFERROR(matches(E263,VLOOKUP(D263,LookupLists!$N$3:$T$60,7,FALSE)),FALSE))</f>
        <v/>
      </c>
      <c r="H263" s="3" t="e">
        <f>VLOOKUP(A263,LookupLists!$I$3:$L$60,1,FALSE)</f>
        <v>#N/A</v>
      </c>
      <c r="I263" s="3" t="e">
        <f>VLOOKUP(A263,LookupLists!$I$3:$L$60,2,FALSE)</f>
        <v>#N/A</v>
      </c>
      <c r="J263" s="3" t="e">
        <f>VLOOKUP(A263,LookupLists!$I$3:$L$60,3,FALSE)</f>
        <v>#N/A</v>
      </c>
      <c r="K263" s="3" t="e">
        <f>VLOOKUP(A263,LookupLists!$I$3:$L$60,4,FALSE)</f>
        <v>#N/A</v>
      </c>
      <c r="L263" s="3" t="e">
        <f>VLOOKUP(C263,LookupLists!$A$3:$G$60,1,FALSE)</f>
        <v>#N/A</v>
      </c>
      <c r="M263" s="3" t="e">
        <f>VLOOKUP(C263,LookupLists!$A$3:$G$60,4,FALSE)</f>
        <v>#N/A</v>
      </c>
      <c r="N263" s="3" t="e">
        <f>VLOOKUP(C263,LookupLists!$A$3:$G$60,2,FALSE)</f>
        <v>#N/A</v>
      </c>
      <c r="O263" s="3" t="e">
        <f>VLOOKUP(C263,LookupLists!$A$3:$G$60,3,FALSE)</f>
        <v>#N/A</v>
      </c>
      <c r="P263" s="3" t="e">
        <f>VLOOKUP(C263,LookupLists!$A$3:$G$60,5,FALSE)</f>
        <v>#N/A</v>
      </c>
      <c r="Q263" s="3" t="e">
        <f>VLOOKUP(C263,LookupLists!$A$3:$G$60,6,FALSE)</f>
        <v>#N/A</v>
      </c>
      <c r="R263" s="4" t="e">
        <f>VLOOKUP(C263,LookupLists!$A$3:$G$60,7,FALSE)</f>
        <v>#N/A</v>
      </c>
      <c r="S263" s="3" t="e">
        <f>VLOOKUP(D263,LookupLists!$N$4:$T$60,1,FALSE)</f>
        <v>#N/A</v>
      </c>
      <c r="T263" s="3" t="e">
        <f>VLOOKUP(D263,LookupLists!$N$4:$T$60,2,FALSE)</f>
        <v>#N/A</v>
      </c>
      <c r="U263" s="3" t="e">
        <f>VLOOKUP(D263,LookupLists!$N$4:$T$60,3,FALSE)</f>
        <v>#N/A</v>
      </c>
      <c r="V263" s="3" t="e">
        <f>VLOOKUP(D263,LookupLists!$N$4:$T$60,5,FALSE)</f>
        <v>#N/A</v>
      </c>
    </row>
    <row r="264" spans="5:22" x14ac:dyDescent="0.3">
      <c r="E264" s="3" t="str">
        <f t="shared" ref="E264:E327" si="4">IFERROR(ComputeResourceName($B$3,$B$2,$B$1,B264,H264,I264,J264,K264,L264,N264,O264,M264,R264,S264,T264,U264,V264,0),"")</f>
        <v/>
      </c>
      <c r="F264" s="3" t="str">
        <f xml:space="preserve"> IF(E264="","",  IFERROR(VLOOKUP(D264,LookupLists!$N$3:$T$60,6,FALSE)-LEN(E264),0))</f>
        <v/>
      </c>
      <c r="G264" s="3" t="str">
        <f>IF(E264="","",IFERROR(matches(E264,VLOOKUP(D264,LookupLists!$N$3:$T$60,7,FALSE)),FALSE))</f>
        <v/>
      </c>
      <c r="H264" s="3" t="e">
        <f>VLOOKUP(A264,LookupLists!$I$3:$L$60,1,FALSE)</f>
        <v>#N/A</v>
      </c>
      <c r="I264" s="3" t="e">
        <f>VLOOKUP(A264,LookupLists!$I$3:$L$60,2,FALSE)</f>
        <v>#N/A</v>
      </c>
      <c r="J264" s="3" t="e">
        <f>VLOOKUP(A264,LookupLists!$I$3:$L$60,3,FALSE)</f>
        <v>#N/A</v>
      </c>
      <c r="K264" s="3" t="e">
        <f>VLOOKUP(A264,LookupLists!$I$3:$L$60,4,FALSE)</f>
        <v>#N/A</v>
      </c>
      <c r="L264" s="3" t="e">
        <f>VLOOKUP(C264,LookupLists!$A$3:$G$60,1,FALSE)</f>
        <v>#N/A</v>
      </c>
      <c r="M264" s="3" t="e">
        <f>VLOOKUP(C264,LookupLists!$A$3:$G$60,4,FALSE)</f>
        <v>#N/A</v>
      </c>
      <c r="N264" s="3" t="e">
        <f>VLOOKUP(C264,LookupLists!$A$3:$G$60,2,FALSE)</f>
        <v>#N/A</v>
      </c>
      <c r="O264" s="3" t="e">
        <f>VLOOKUP(C264,LookupLists!$A$3:$G$60,3,FALSE)</f>
        <v>#N/A</v>
      </c>
      <c r="P264" s="3" t="e">
        <f>VLOOKUP(C264,LookupLists!$A$3:$G$60,5,FALSE)</f>
        <v>#N/A</v>
      </c>
      <c r="Q264" s="3" t="e">
        <f>VLOOKUP(C264,LookupLists!$A$3:$G$60,6,FALSE)</f>
        <v>#N/A</v>
      </c>
      <c r="R264" s="4" t="e">
        <f>VLOOKUP(C264,LookupLists!$A$3:$G$60,7,FALSE)</f>
        <v>#N/A</v>
      </c>
      <c r="S264" s="3" t="e">
        <f>VLOOKUP(D264,LookupLists!$N$4:$T$60,1,FALSE)</f>
        <v>#N/A</v>
      </c>
      <c r="T264" s="3" t="e">
        <f>VLOOKUP(D264,LookupLists!$N$4:$T$60,2,FALSE)</f>
        <v>#N/A</v>
      </c>
      <c r="U264" s="3" t="e">
        <f>VLOOKUP(D264,LookupLists!$N$4:$T$60,3,FALSE)</f>
        <v>#N/A</v>
      </c>
      <c r="V264" s="3" t="e">
        <f>VLOOKUP(D264,LookupLists!$N$4:$T$60,5,FALSE)</f>
        <v>#N/A</v>
      </c>
    </row>
    <row r="265" spans="5:22" x14ac:dyDescent="0.3">
      <c r="E265" s="3" t="str">
        <f t="shared" si="4"/>
        <v/>
      </c>
      <c r="F265" s="3" t="str">
        <f xml:space="preserve"> IF(E265="","",  IFERROR(VLOOKUP(D265,LookupLists!$N$3:$T$60,6,FALSE)-LEN(E265),0))</f>
        <v/>
      </c>
      <c r="G265" s="3" t="str">
        <f>IF(E265="","",IFERROR(matches(E265,VLOOKUP(D265,LookupLists!$N$3:$T$60,7,FALSE)),FALSE))</f>
        <v/>
      </c>
      <c r="H265" s="3" t="e">
        <f>VLOOKUP(A265,LookupLists!$I$3:$L$60,1,FALSE)</f>
        <v>#N/A</v>
      </c>
      <c r="I265" s="3" t="e">
        <f>VLOOKUP(A265,LookupLists!$I$3:$L$60,2,FALSE)</f>
        <v>#N/A</v>
      </c>
      <c r="J265" s="3" t="e">
        <f>VLOOKUP(A265,LookupLists!$I$3:$L$60,3,FALSE)</f>
        <v>#N/A</v>
      </c>
      <c r="K265" s="3" t="e">
        <f>VLOOKUP(A265,LookupLists!$I$3:$L$60,4,FALSE)</f>
        <v>#N/A</v>
      </c>
      <c r="L265" s="3" t="e">
        <f>VLOOKUP(C265,LookupLists!$A$3:$G$60,1,FALSE)</f>
        <v>#N/A</v>
      </c>
      <c r="M265" s="3" t="e">
        <f>VLOOKUP(C265,LookupLists!$A$3:$G$60,4,FALSE)</f>
        <v>#N/A</v>
      </c>
      <c r="N265" s="3" t="e">
        <f>VLOOKUP(C265,LookupLists!$A$3:$G$60,2,FALSE)</f>
        <v>#N/A</v>
      </c>
      <c r="O265" s="3" t="e">
        <f>VLOOKUP(C265,LookupLists!$A$3:$G$60,3,FALSE)</f>
        <v>#N/A</v>
      </c>
      <c r="P265" s="3" t="e">
        <f>VLOOKUP(C265,LookupLists!$A$3:$G$60,5,FALSE)</f>
        <v>#N/A</v>
      </c>
      <c r="Q265" s="3" t="e">
        <f>VLOOKUP(C265,LookupLists!$A$3:$G$60,6,FALSE)</f>
        <v>#N/A</v>
      </c>
      <c r="R265" s="4" t="e">
        <f>VLOOKUP(C265,LookupLists!$A$3:$G$60,7,FALSE)</f>
        <v>#N/A</v>
      </c>
      <c r="S265" s="3" t="e">
        <f>VLOOKUP(D265,LookupLists!$N$4:$T$60,1,FALSE)</f>
        <v>#N/A</v>
      </c>
      <c r="T265" s="3" t="e">
        <f>VLOOKUP(D265,LookupLists!$N$4:$T$60,2,FALSE)</f>
        <v>#N/A</v>
      </c>
      <c r="U265" s="3" t="e">
        <f>VLOOKUP(D265,LookupLists!$N$4:$T$60,3,FALSE)</f>
        <v>#N/A</v>
      </c>
      <c r="V265" s="3" t="e">
        <f>VLOOKUP(D265,LookupLists!$N$4:$T$60,5,FALSE)</f>
        <v>#N/A</v>
      </c>
    </row>
    <row r="266" spans="5:22" x14ac:dyDescent="0.3">
      <c r="E266" s="3" t="str">
        <f t="shared" si="4"/>
        <v/>
      </c>
      <c r="F266" s="3" t="str">
        <f xml:space="preserve"> IF(E266="","",  IFERROR(VLOOKUP(D266,LookupLists!$N$3:$T$60,6,FALSE)-LEN(E266),0))</f>
        <v/>
      </c>
      <c r="G266" s="3" t="str">
        <f>IF(E266="","",IFERROR(matches(E266,VLOOKUP(D266,LookupLists!$N$3:$T$60,7,FALSE)),FALSE))</f>
        <v/>
      </c>
      <c r="H266" s="3" t="e">
        <f>VLOOKUP(A266,LookupLists!$I$3:$L$60,1,FALSE)</f>
        <v>#N/A</v>
      </c>
      <c r="I266" s="3" t="e">
        <f>VLOOKUP(A266,LookupLists!$I$3:$L$60,2,FALSE)</f>
        <v>#N/A</v>
      </c>
      <c r="J266" s="3" t="e">
        <f>VLOOKUP(A266,LookupLists!$I$3:$L$60,3,FALSE)</f>
        <v>#N/A</v>
      </c>
      <c r="K266" s="3" t="e">
        <f>VLOOKUP(A266,LookupLists!$I$3:$L$60,4,FALSE)</f>
        <v>#N/A</v>
      </c>
      <c r="L266" s="3" t="e">
        <f>VLOOKUP(C266,LookupLists!$A$3:$G$60,1,FALSE)</f>
        <v>#N/A</v>
      </c>
      <c r="M266" s="3" t="e">
        <f>VLOOKUP(C266,LookupLists!$A$3:$G$60,4,FALSE)</f>
        <v>#N/A</v>
      </c>
      <c r="N266" s="3" t="e">
        <f>VLOOKUP(C266,LookupLists!$A$3:$G$60,2,FALSE)</f>
        <v>#N/A</v>
      </c>
      <c r="O266" s="3" t="e">
        <f>VLOOKUP(C266,LookupLists!$A$3:$G$60,3,FALSE)</f>
        <v>#N/A</v>
      </c>
      <c r="P266" s="3" t="e">
        <f>VLOOKUP(C266,LookupLists!$A$3:$G$60,5,FALSE)</f>
        <v>#N/A</v>
      </c>
      <c r="Q266" s="3" t="e">
        <f>VLOOKUP(C266,LookupLists!$A$3:$G$60,6,FALSE)</f>
        <v>#N/A</v>
      </c>
      <c r="R266" s="4" t="e">
        <f>VLOOKUP(C266,LookupLists!$A$3:$G$60,7,FALSE)</f>
        <v>#N/A</v>
      </c>
      <c r="S266" s="3" t="e">
        <f>VLOOKUP(D266,LookupLists!$N$4:$T$60,1,FALSE)</f>
        <v>#N/A</v>
      </c>
      <c r="T266" s="3" t="e">
        <f>VLOOKUP(D266,LookupLists!$N$4:$T$60,2,FALSE)</f>
        <v>#N/A</v>
      </c>
      <c r="U266" s="3" t="e">
        <f>VLOOKUP(D266,LookupLists!$N$4:$T$60,3,FALSE)</f>
        <v>#N/A</v>
      </c>
      <c r="V266" s="3" t="e">
        <f>VLOOKUP(D266,LookupLists!$N$4:$T$60,5,FALSE)</f>
        <v>#N/A</v>
      </c>
    </row>
    <row r="267" spans="5:22" x14ac:dyDescent="0.3">
      <c r="E267" s="3" t="str">
        <f t="shared" si="4"/>
        <v/>
      </c>
      <c r="F267" s="3" t="str">
        <f xml:space="preserve"> IF(E267="","",  IFERROR(VLOOKUP(D267,LookupLists!$N$3:$T$60,6,FALSE)-LEN(E267),0))</f>
        <v/>
      </c>
      <c r="G267" s="3" t="str">
        <f>IF(E267="","",IFERROR(matches(E267,VLOOKUP(D267,LookupLists!$N$3:$T$60,7,FALSE)),FALSE))</f>
        <v/>
      </c>
      <c r="H267" s="3" t="e">
        <f>VLOOKUP(A267,LookupLists!$I$3:$L$60,1,FALSE)</f>
        <v>#N/A</v>
      </c>
      <c r="I267" s="3" t="e">
        <f>VLOOKUP(A267,LookupLists!$I$3:$L$60,2,FALSE)</f>
        <v>#N/A</v>
      </c>
      <c r="J267" s="3" t="e">
        <f>VLOOKUP(A267,LookupLists!$I$3:$L$60,3,FALSE)</f>
        <v>#N/A</v>
      </c>
      <c r="K267" s="3" t="e">
        <f>VLOOKUP(A267,LookupLists!$I$3:$L$60,4,FALSE)</f>
        <v>#N/A</v>
      </c>
      <c r="L267" s="3" t="e">
        <f>VLOOKUP(C267,LookupLists!$A$3:$G$60,1,FALSE)</f>
        <v>#N/A</v>
      </c>
      <c r="M267" s="3" t="e">
        <f>VLOOKUP(C267,LookupLists!$A$3:$G$60,4,FALSE)</f>
        <v>#N/A</v>
      </c>
      <c r="N267" s="3" t="e">
        <f>VLOOKUP(C267,LookupLists!$A$3:$G$60,2,FALSE)</f>
        <v>#N/A</v>
      </c>
      <c r="O267" s="3" t="e">
        <f>VLOOKUP(C267,LookupLists!$A$3:$G$60,3,FALSE)</f>
        <v>#N/A</v>
      </c>
      <c r="P267" s="3" t="e">
        <f>VLOOKUP(C267,LookupLists!$A$3:$G$60,5,FALSE)</f>
        <v>#N/A</v>
      </c>
      <c r="Q267" s="3" t="e">
        <f>VLOOKUP(C267,LookupLists!$A$3:$G$60,6,FALSE)</f>
        <v>#N/A</v>
      </c>
      <c r="R267" s="4" t="e">
        <f>VLOOKUP(C267,LookupLists!$A$3:$G$60,7,FALSE)</f>
        <v>#N/A</v>
      </c>
      <c r="S267" s="3" t="e">
        <f>VLOOKUP(D267,LookupLists!$N$4:$T$60,1,FALSE)</f>
        <v>#N/A</v>
      </c>
      <c r="T267" s="3" t="e">
        <f>VLOOKUP(D267,LookupLists!$N$4:$T$60,2,FALSE)</f>
        <v>#N/A</v>
      </c>
      <c r="U267" s="3" t="e">
        <f>VLOOKUP(D267,LookupLists!$N$4:$T$60,3,FALSE)</f>
        <v>#N/A</v>
      </c>
      <c r="V267" s="3" t="e">
        <f>VLOOKUP(D267,LookupLists!$N$4:$T$60,5,FALSE)</f>
        <v>#N/A</v>
      </c>
    </row>
    <row r="268" spans="5:22" x14ac:dyDescent="0.3">
      <c r="E268" s="3" t="str">
        <f t="shared" si="4"/>
        <v/>
      </c>
      <c r="F268" s="3" t="str">
        <f xml:space="preserve"> IF(E268="","",  IFERROR(VLOOKUP(D268,LookupLists!$N$3:$T$60,6,FALSE)-LEN(E268),0))</f>
        <v/>
      </c>
      <c r="G268" s="3" t="str">
        <f>IF(E268="","",IFERROR(matches(E268,VLOOKUP(D268,LookupLists!$N$3:$T$60,7,FALSE)),FALSE))</f>
        <v/>
      </c>
      <c r="H268" s="3" t="e">
        <f>VLOOKUP(A268,LookupLists!$I$3:$L$60,1,FALSE)</f>
        <v>#N/A</v>
      </c>
      <c r="I268" s="3" t="e">
        <f>VLOOKUP(A268,LookupLists!$I$3:$L$60,2,FALSE)</f>
        <v>#N/A</v>
      </c>
      <c r="J268" s="3" t="e">
        <f>VLOOKUP(A268,LookupLists!$I$3:$L$60,3,FALSE)</f>
        <v>#N/A</v>
      </c>
      <c r="K268" s="3" t="e">
        <f>VLOOKUP(A268,LookupLists!$I$3:$L$60,4,FALSE)</f>
        <v>#N/A</v>
      </c>
      <c r="L268" s="3" t="e">
        <f>VLOOKUP(C268,LookupLists!$A$3:$G$60,1,FALSE)</f>
        <v>#N/A</v>
      </c>
      <c r="M268" s="3" t="e">
        <f>VLOOKUP(C268,LookupLists!$A$3:$G$60,4,FALSE)</f>
        <v>#N/A</v>
      </c>
      <c r="N268" s="3" t="e">
        <f>VLOOKUP(C268,LookupLists!$A$3:$G$60,2,FALSE)</f>
        <v>#N/A</v>
      </c>
      <c r="O268" s="3" t="e">
        <f>VLOOKUP(C268,LookupLists!$A$3:$G$60,3,FALSE)</f>
        <v>#N/A</v>
      </c>
      <c r="P268" s="3" t="e">
        <f>VLOOKUP(C268,LookupLists!$A$3:$G$60,5,FALSE)</f>
        <v>#N/A</v>
      </c>
      <c r="Q268" s="3" t="e">
        <f>VLOOKUP(C268,LookupLists!$A$3:$G$60,6,FALSE)</f>
        <v>#N/A</v>
      </c>
      <c r="R268" s="4" t="e">
        <f>VLOOKUP(C268,LookupLists!$A$3:$G$60,7,FALSE)</f>
        <v>#N/A</v>
      </c>
      <c r="S268" s="3" t="e">
        <f>VLOOKUP(D268,LookupLists!$N$4:$T$60,1,FALSE)</f>
        <v>#N/A</v>
      </c>
      <c r="T268" s="3" t="e">
        <f>VLOOKUP(D268,LookupLists!$N$4:$T$60,2,FALSE)</f>
        <v>#N/A</v>
      </c>
      <c r="U268" s="3" t="e">
        <f>VLOOKUP(D268,LookupLists!$N$4:$T$60,3,FALSE)</f>
        <v>#N/A</v>
      </c>
      <c r="V268" s="3" t="e">
        <f>VLOOKUP(D268,LookupLists!$N$4:$T$60,5,FALSE)</f>
        <v>#N/A</v>
      </c>
    </row>
    <row r="269" spans="5:22" x14ac:dyDescent="0.3">
      <c r="E269" s="3" t="str">
        <f t="shared" si="4"/>
        <v/>
      </c>
      <c r="F269" s="3" t="str">
        <f xml:space="preserve"> IF(E269="","",  IFERROR(VLOOKUP(D269,LookupLists!$N$3:$T$60,6,FALSE)-LEN(E269),0))</f>
        <v/>
      </c>
      <c r="G269" s="3" t="str">
        <f>IF(E269="","",IFERROR(matches(E269,VLOOKUP(D269,LookupLists!$N$3:$T$60,7,FALSE)),FALSE))</f>
        <v/>
      </c>
      <c r="H269" s="3" t="e">
        <f>VLOOKUP(A269,LookupLists!$I$3:$L$60,1,FALSE)</f>
        <v>#N/A</v>
      </c>
      <c r="I269" s="3" t="e">
        <f>VLOOKUP(A269,LookupLists!$I$3:$L$60,2,FALSE)</f>
        <v>#N/A</v>
      </c>
      <c r="J269" s="3" t="e">
        <f>VLOOKUP(A269,LookupLists!$I$3:$L$60,3,FALSE)</f>
        <v>#N/A</v>
      </c>
      <c r="K269" s="3" t="e">
        <f>VLOOKUP(A269,LookupLists!$I$3:$L$60,4,FALSE)</f>
        <v>#N/A</v>
      </c>
      <c r="L269" s="3" t="e">
        <f>VLOOKUP(C269,LookupLists!$A$3:$G$60,1,FALSE)</f>
        <v>#N/A</v>
      </c>
      <c r="M269" s="3" t="e">
        <f>VLOOKUP(C269,LookupLists!$A$3:$G$60,4,FALSE)</f>
        <v>#N/A</v>
      </c>
      <c r="N269" s="3" t="e">
        <f>VLOOKUP(C269,LookupLists!$A$3:$G$60,2,FALSE)</f>
        <v>#N/A</v>
      </c>
      <c r="O269" s="3" t="e">
        <f>VLOOKUP(C269,LookupLists!$A$3:$G$60,3,FALSE)</f>
        <v>#N/A</v>
      </c>
      <c r="P269" s="3" t="e">
        <f>VLOOKUP(C269,LookupLists!$A$3:$G$60,5,FALSE)</f>
        <v>#N/A</v>
      </c>
      <c r="Q269" s="3" t="e">
        <f>VLOOKUP(C269,LookupLists!$A$3:$G$60,6,FALSE)</f>
        <v>#N/A</v>
      </c>
      <c r="R269" s="4" t="e">
        <f>VLOOKUP(C269,LookupLists!$A$3:$G$60,7,FALSE)</f>
        <v>#N/A</v>
      </c>
      <c r="S269" s="3" t="e">
        <f>VLOOKUP(D269,LookupLists!$N$4:$T$60,1,FALSE)</f>
        <v>#N/A</v>
      </c>
      <c r="T269" s="3" t="e">
        <f>VLOOKUP(D269,LookupLists!$N$4:$T$60,2,FALSE)</f>
        <v>#N/A</v>
      </c>
      <c r="U269" s="3" t="e">
        <f>VLOOKUP(D269,LookupLists!$N$4:$T$60,3,FALSE)</f>
        <v>#N/A</v>
      </c>
      <c r="V269" s="3" t="e">
        <f>VLOOKUP(D269,LookupLists!$N$4:$T$60,5,FALSE)</f>
        <v>#N/A</v>
      </c>
    </row>
    <row r="270" spans="5:22" x14ac:dyDescent="0.3">
      <c r="E270" s="3" t="str">
        <f t="shared" si="4"/>
        <v/>
      </c>
      <c r="F270" s="3" t="str">
        <f xml:space="preserve"> IF(E270="","",  IFERROR(VLOOKUP(D270,LookupLists!$N$3:$T$60,6,FALSE)-LEN(E270),0))</f>
        <v/>
      </c>
      <c r="G270" s="3" t="str">
        <f>IF(E270="","",IFERROR(matches(E270,VLOOKUP(D270,LookupLists!$N$3:$T$60,7,FALSE)),FALSE))</f>
        <v/>
      </c>
      <c r="H270" s="3" t="e">
        <f>VLOOKUP(A270,LookupLists!$I$3:$L$60,1,FALSE)</f>
        <v>#N/A</v>
      </c>
      <c r="I270" s="3" t="e">
        <f>VLOOKUP(A270,LookupLists!$I$3:$L$60,2,FALSE)</f>
        <v>#N/A</v>
      </c>
      <c r="J270" s="3" t="e">
        <f>VLOOKUP(A270,LookupLists!$I$3:$L$60,3,FALSE)</f>
        <v>#N/A</v>
      </c>
      <c r="K270" s="3" t="e">
        <f>VLOOKUP(A270,LookupLists!$I$3:$L$60,4,FALSE)</f>
        <v>#N/A</v>
      </c>
      <c r="L270" s="3" t="e">
        <f>VLOOKUP(C270,LookupLists!$A$3:$G$60,1,FALSE)</f>
        <v>#N/A</v>
      </c>
      <c r="M270" s="3" t="e">
        <f>VLOOKUP(C270,LookupLists!$A$3:$G$60,4,FALSE)</f>
        <v>#N/A</v>
      </c>
      <c r="N270" s="3" t="e">
        <f>VLOOKUP(C270,LookupLists!$A$3:$G$60,2,FALSE)</f>
        <v>#N/A</v>
      </c>
      <c r="O270" s="3" t="e">
        <f>VLOOKUP(C270,LookupLists!$A$3:$G$60,3,FALSE)</f>
        <v>#N/A</v>
      </c>
      <c r="P270" s="3" t="e">
        <f>VLOOKUP(C270,LookupLists!$A$3:$G$60,5,FALSE)</f>
        <v>#N/A</v>
      </c>
      <c r="Q270" s="3" t="e">
        <f>VLOOKUP(C270,LookupLists!$A$3:$G$60,6,FALSE)</f>
        <v>#N/A</v>
      </c>
      <c r="R270" s="4" t="e">
        <f>VLOOKUP(C270,LookupLists!$A$3:$G$60,7,FALSE)</f>
        <v>#N/A</v>
      </c>
      <c r="S270" s="3" t="e">
        <f>VLOOKUP(D270,LookupLists!$N$4:$T$60,1,FALSE)</f>
        <v>#N/A</v>
      </c>
      <c r="T270" s="3" t="e">
        <f>VLOOKUP(D270,LookupLists!$N$4:$T$60,2,FALSE)</f>
        <v>#N/A</v>
      </c>
      <c r="U270" s="3" t="e">
        <f>VLOOKUP(D270,LookupLists!$N$4:$T$60,3,FALSE)</f>
        <v>#N/A</v>
      </c>
      <c r="V270" s="3" t="e">
        <f>VLOOKUP(D270,LookupLists!$N$4:$T$60,5,FALSE)</f>
        <v>#N/A</v>
      </c>
    </row>
    <row r="271" spans="5:22" x14ac:dyDescent="0.3">
      <c r="E271" s="3" t="str">
        <f t="shared" si="4"/>
        <v/>
      </c>
      <c r="F271" s="3" t="str">
        <f xml:space="preserve"> IF(E271="","",  IFERROR(VLOOKUP(D271,LookupLists!$N$3:$T$60,6,FALSE)-LEN(E271),0))</f>
        <v/>
      </c>
      <c r="G271" s="3" t="str">
        <f>IF(E271="","",IFERROR(matches(E271,VLOOKUP(D271,LookupLists!$N$3:$T$60,7,FALSE)),FALSE))</f>
        <v/>
      </c>
      <c r="H271" s="3" t="e">
        <f>VLOOKUP(A271,LookupLists!$I$3:$L$60,1,FALSE)</f>
        <v>#N/A</v>
      </c>
      <c r="I271" s="3" t="e">
        <f>VLOOKUP(A271,LookupLists!$I$3:$L$60,2,FALSE)</f>
        <v>#N/A</v>
      </c>
      <c r="J271" s="3" t="e">
        <f>VLOOKUP(A271,LookupLists!$I$3:$L$60,3,FALSE)</f>
        <v>#N/A</v>
      </c>
      <c r="K271" s="3" t="e">
        <f>VLOOKUP(A271,LookupLists!$I$3:$L$60,4,FALSE)</f>
        <v>#N/A</v>
      </c>
      <c r="L271" s="3" t="e">
        <f>VLOOKUP(C271,LookupLists!$A$3:$G$60,1,FALSE)</f>
        <v>#N/A</v>
      </c>
      <c r="M271" s="3" t="e">
        <f>VLOOKUP(C271,LookupLists!$A$3:$G$60,4,FALSE)</f>
        <v>#N/A</v>
      </c>
      <c r="N271" s="3" t="e">
        <f>VLOOKUP(C271,LookupLists!$A$3:$G$60,2,FALSE)</f>
        <v>#N/A</v>
      </c>
      <c r="O271" s="3" t="e">
        <f>VLOOKUP(C271,LookupLists!$A$3:$G$60,3,FALSE)</f>
        <v>#N/A</v>
      </c>
      <c r="P271" s="3" t="e">
        <f>VLOOKUP(C271,LookupLists!$A$3:$G$60,5,FALSE)</f>
        <v>#N/A</v>
      </c>
      <c r="Q271" s="3" t="e">
        <f>VLOOKUP(C271,LookupLists!$A$3:$G$60,6,FALSE)</f>
        <v>#N/A</v>
      </c>
      <c r="R271" s="4" t="e">
        <f>VLOOKUP(C271,LookupLists!$A$3:$G$60,7,FALSE)</f>
        <v>#N/A</v>
      </c>
      <c r="S271" s="3" t="e">
        <f>VLOOKUP(D271,LookupLists!$N$4:$T$60,1,FALSE)</f>
        <v>#N/A</v>
      </c>
      <c r="T271" s="3" t="e">
        <f>VLOOKUP(D271,LookupLists!$N$4:$T$60,2,FALSE)</f>
        <v>#N/A</v>
      </c>
      <c r="U271" s="3" t="e">
        <f>VLOOKUP(D271,LookupLists!$N$4:$T$60,3,FALSE)</f>
        <v>#N/A</v>
      </c>
      <c r="V271" s="3" t="e">
        <f>VLOOKUP(D271,LookupLists!$N$4:$T$60,5,FALSE)</f>
        <v>#N/A</v>
      </c>
    </row>
    <row r="272" spans="5:22" x14ac:dyDescent="0.3">
      <c r="E272" s="3" t="str">
        <f t="shared" si="4"/>
        <v/>
      </c>
      <c r="F272" s="3" t="str">
        <f xml:space="preserve"> IF(E272="","",  IFERROR(VLOOKUP(D272,LookupLists!$N$3:$T$60,6,FALSE)-LEN(E272),0))</f>
        <v/>
      </c>
      <c r="G272" s="3" t="str">
        <f>IF(E272="","",IFERROR(matches(E272,VLOOKUP(D272,LookupLists!$N$3:$T$60,7,FALSE)),FALSE))</f>
        <v/>
      </c>
      <c r="H272" s="3" t="e">
        <f>VLOOKUP(A272,LookupLists!$I$3:$L$60,1,FALSE)</f>
        <v>#N/A</v>
      </c>
      <c r="I272" s="3" t="e">
        <f>VLOOKUP(A272,LookupLists!$I$3:$L$60,2,FALSE)</f>
        <v>#N/A</v>
      </c>
      <c r="J272" s="3" t="e">
        <f>VLOOKUP(A272,LookupLists!$I$3:$L$60,3,FALSE)</f>
        <v>#N/A</v>
      </c>
      <c r="K272" s="3" t="e">
        <f>VLOOKUP(A272,LookupLists!$I$3:$L$60,4,FALSE)</f>
        <v>#N/A</v>
      </c>
      <c r="L272" s="3" t="e">
        <f>VLOOKUP(C272,LookupLists!$A$3:$G$60,1,FALSE)</f>
        <v>#N/A</v>
      </c>
      <c r="M272" s="3" t="e">
        <f>VLOOKUP(C272,LookupLists!$A$3:$G$60,4,FALSE)</f>
        <v>#N/A</v>
      </c>
      <c r="N272" s="3" t="e">
        <f>VLOOKUP(C272,LookupLists!$A$3:$G$60,2,FALSE)</f>
        <v>#N/A</v>
      </c>
      <c r="O272" s="3" t="e">
        <f>VLOOKUP(C272,LookupLists!$A$3:$G$60,3,FALSE)</f>
        <v>#N/A</v>
      </c>
      <c r="P272" s="3" t="e">
        <f>VLOOKUP(C272,LookupLists!$A$3:$G$60,5,FALSE)</f>
        <v>#N/A</v>
      </c>
      <c r="Q272" s="3" t="e">
        <f>VLOOKUP(C272,LookupLists!$A$3:$G$60,6,FALSE)</f>
        <v>#N/A</v>
      </c>
      <c r="R272" s="4" t="e">
        <f>VLOOKUP(C272,LookupLists!$A$3:$G$60,7,FALSE)</f>
        <v>#N/A</v>
      </c>
      <c r="S272" s="3" t="e">
        <f>VLOOKUP(D272,LookupLists!$N$4:$T$60,1,FALSE)</f>
        <v>#N/A</v>
      </c>
      <c r="T272" s="3" t="e">
        <f>VLOOKUP(D272,LookupLists!$N$4:$T$60,2,FALSE)</f>
        <v>#N/A</v>
      </c>
      <c r="U272" s="3" t="e">
        <f>VLOOKUP(D272,LookupLists!$N$4:$T$60,3,FALSE)</f>
        <v>#N/A</v>
      </c>
      <c r="V272" s="3" t="e">
        <f>VLOOKUP(D272,LookupLists!$N$4:$T$60,5,FALSE)</f>
        <v>#N/A</v>
      </c>
    </row>
    <row r="273" spans="5:22" x14ac:dyDescent="0.3">
      <c r="E273" s="3" t="str">
        <f t="shared" si="4"/>
        <v/>
      </c>
      <c r="F273" s="3" t="str">
        <f xml:space="preserve"> IF(E273="","",  IFERROR(VLOOKUP(D273,LookupLists!$N$3:$T$60,6,FALSE)-LEN(E273),0))</f>
        <v/>
      </c>
      <c r="G273" s="3" t="str">
        <f>IF(E273="","",IFERROR(matches(E273,VLOOKUP(D273,LookupLists!$N$3:$T$60,7,FALSE)),FALSE))</f>
        <v/>
      </c>
      <c r="H273" s="3" t="e">
        <f>VLOOKUP(A273,LookupLists!$I$3:$L$60,1,FALSE)</f>
        <v>#N/A</v>
      </c>
      <c r="I273" s="3" t="e">
        <f>VLOOKUP(A273,LookupLists!$I$3:$L$60,2,FALSE)</f>
        <v>#N/A</v>
      </c>
      <c r="J273" s="3" t="e">
        <f>VLOOKUP(A273,LookupLists!$I$3:$L$60,3,FALSE)</f>
        <v>#N/A</v>
      </c>
      <c r="K273" s="3" t="e">
        <f>VLOOKUP(A273,LookupLists!$I$3:$L$60,4,FALSE)</f>
        <v>#N/A</v>
      </c>
      <c r="L273" s="3" t="e">
        <f>VLOOKUP(C273,LookupLists!$A$3:$G$60,1,FALSE)</f>
        <v>#N/A</v>
      </c>
      <c r="M273" s="3" t="e">
        <f>VLOOKUP(C273,LookupLists!$A$3:$G$60,4,FALSE)</f>
        <v>#N/A</v>
      </c>
      <c r="N273" s="3" t="e">
        <f>VLOOKUP(C273,LookupLists!$A$3:$G$60,2,FALSE)</f>
        <v>#N/A</v>
      </c>
      <c r="O273" s="3" t="e">
        <f>VLOOKUP(C273,LookupLists!$A$3:$G$60,3,FALSE)</f>
        <v>#N/A</v>
      </c>
      <c r="P273" s="3" t="e">
        <f>VLOOKUP(C273,LookupLists!$A$3:$G$60,5,FALSE)</f>
        <v>#N/A</v>
      </c>
      <c r="Q273" s="3" t="e">
        <f>VLOOKUP(C273,LookupLists!$A$3:$G$60,6,FALSE)</f>
        <v>#N/A</v>
      </c>
      <c r="R273" s="4" t="e">
        <f>VLOOKUP(C273,LookupLists!$A$3:$G$60,7,FALSE)</f>
        <v>#N/A</v>
      </c>
      <c r="S273" s="3" t="e">
        <f>VLOOKUP(D273,LookupLists!$N$4:$T$60,1,FALSE)</f>
        <v>#N/A</v>
      </c>
      <c r="T273" s="3" t="e">
        <f>VLOOKUP(D273,LookupLists!$N$4:$T$60,2,FALSE)</f>
        <v>#N/A</v>
      </c>
      <c r="U273" s="3" t="e">
        <f>VLOOKUP(D273,LookupLists!$N$4:$T$60,3,FALSE)</f>
        <v>#N/A</v>
      </c>
      <c r="V273" s="3" t="e">
        <f>VLOOKUP(D273,LookupLists!$N$4:$T$60,5,FALSE)</f>
        <v>#N/A</v>
      </c>
    </row>
    <row r="274" spans="5:22" x14ac:dyDescent="0.3">
      <c r="E274" s="3" t="str">
        <f t="shared" si="4"/>
        <v/>
      </c>
      <c r="F274" s="3" t="str">
        <f xml:space="preserve"> IF(E274="","",  IFERROR(VLOOKUP(D274,LookupLists!$N$3:$T$60,6,FALSE)-LEN(E274),0))</f>
        <v/>
      </c>
      <c r="G274" s="3" t="str">
        <f>IF(E274="","",IFERROR(matches(E274,VLOOKUP(D274,LookupLists!$N$3:$T$60,7,FALSE)),FALSE))</f>
        <v/>
      </c>
      <c r="H274" s="3" t="e">
        <f>VLOOKUP(A274,LookupLists!$I$3:$L$60,1,FALSE)</f>
        <v>#N/A</v>
      </c>
      <c r="I274" s="3" t="e">
        <f>VLOOKUP(A274,LookupLists!$I$3:$L$60,2,FALSE)</f>
        <v>#N/A</v>
      </c>
      <c r="J274" s="3" t="e">
        <f>VLOOKUP(A274,LookupLists!$I$3:$L$60,3,FALSE)</f>
        <v>#N/A</v>
      </c>
      <c r="K274" s="3" t="e">
        <f>VLOOKUP(A274,LookupLists!$I$3:$L$60,4,FALSE)</f>
        <v>#N/A</v>
      </c>
      <c r="L274" s="3" t="e">
        <f>VLOOKUP(C274,LookupLists!$A$3:$G$60,1,FALSE)</f>
        <v>#N/A</v>
      </c>
      <c r="M274" s="3" t="e">
        <f>VLOOKUP(C274,LookupLists!$A$3:$G$60,4,FALSE)</f>
        <v>#N/A</v>
      </c>
      <c r="N274" s="3" t="e">
        <f>VLOOKUP(C274,LookupLists!$A$3:$G$60,2,FALSE)</f>
        <v>#N/A</v>
      </c>
      <c r="O274" s="3" t="e">
        <f>VLOOKUP(C274,LookupLists!$A$3:$G$60,3,FALSE)</f>
        <v>#N/A</v>
      </c>
      <c r="P274" s="3" t="e">
        <f>VLOOKUP(C274,LookupLists!$A$3:$G$60,5,FALSE)</f>
        <v>#N/A</v>
      </c>
      <c r="Q274" s="3" t="e">
        <f>VLOOKUP(C274,LookupLists!$A$3:$G$60,6,FALSE)</f>
        <v>#N/A</v>
      </c>
      <c r="R274" s="4" t="e">
        <f>VLOOKUP(C274,LookupLists!$A$3:$G$60,7,FALSE)</f>
        <v>#N/A</v>
      </c>
      <c r="S274" s="3" t="e">
        <f>VLOOKUP(D274,LookupLists!$N$4:$T$60,1,FALSE)</f>
        <v>#N/A</v>
      </c>
      <c r="T274" s="3" t="e">
        <f>VLOOKUP(D274,LookupLists!$N$4:$T$60,2,FALSE)</f>
        <v>#N/A</v>
      </c>
      <c r="U274" s="3" t="e">
        <f>VLOOKUP(D274,LookupLists!$N$4:$T$60,3,FALSE)</f>
        <v>#N/A</v>
      </c>
      <c r="V274" s="3" t="e">
        <f>VLOOKUP(D274,LookupLists!$N$4:$T$60,5,FALSE)</f>
        <v>#N/A</v>
      </c>
    </row>
    <row r="275" spans="5:22" x14ac:dyDescent="0.3">
      <c r="E275" s="3" t="str">
        <f t="shared" si="4"/>
        <v/>
      </c>
      <c r="F275" s="3" t="str">
        <f xml:space="preserve"> IF(E275="","",  IFERROR(VLOOKUP(D275,LookupLists!$N$3:$T$60,6,FALSE)-LEN(E275),0))</f>
        <v/>
      </c>
      <c r="G275" s="3" t="str">
        <f>IF(E275="","",IFERROR(matches(E275,VLOOKUP(D275,LookupLists!$N$3:$T$60,7,FALSE)),FALSE))</f>
        <v/>
      </c>
      <c r="H275" s="3" t="e">
        <f>VLOOKUP(A275,LookupLists!$I$3:$L$60,1,FALSE)</f>
        <v>#N/A</v>
      </c>
      <c r="I275" s="3" t="e">
        <f>VLOOKUP(A275,LookupLists!$I$3:$L$60,2,FALSE)</f>
        <v>#N/A</v>
      </c>
      <c r="J275" s="3" t="e">
        <f>VLOOKUP(A275,LookupLists!$I$3:$L$60,3,FALSE)</f>
        <v>#N/A</v>
      </c>
      <c r="K275" s="3" t="e">
        <f>VLOOKUP(A275,LookupLists!$I$3:$L$60,4,FALSE)</f>
        <v>#N/A</v>
      </c>
      <c r="L275" s="3" t="e">
        <f>VLOOKUP(C275,LookupLists!$A$3:$G$60,1,FALSE)</f>
        <v>#N/A</v>
      </c>
      <c r="M275" s="3" t="e">
        <f>VLOOKUP(C275,LookupLists!$A$3:$G$60,4,FALSE)</f>
        <v>#N/A</v>
      </c>
      <c r="N275" s="3" t="e">
        <f>VLOOKUP(C275,LookupLists!$A$3:$G$60,2,FALSE)</f>
        <v>#N/A</v>
      </c>
      <c r="O275" s="3" t="e">
        <f>VLOOKUP(C275,LookupLists!$A$3:$G$60,3,FALSE)</f>
        <v>#N/A</v>
      </c>
      <c r="P275" s="3" t="e">
        <f>VLOOKUP(C275,LookupLists!$A$3:$G$60,5,FALSE)</f>
        <v>#N/A</v>
      </c>
      <c r="Q275" s="3" t="e">
        <f>VLOOKUP(C275,LookupLists!$A$3:$G$60,6,FALSE)</f>
        <v>#N/A</v>
      </c>
      <c r="R275" s="4" t="e">
        <f>VLOOKUP(C275,LookupLists!$A$3:$G$60,7,FALSE)</f>
        <v>#N/A</v>
      </c>
      <c r="S275" s="3" t="e">
        <f>VLOOKUP(D275,LookupLists!$N$4:$T$60,1,FALSE)</f>
        <v>#N/A</v>
      </c>
      <c r="T275" s="3" t="e">
        <f>VLOOKUP(D275,LookupLists!$N$4:$T$60,2,FALSE)</f>
        <v>#N/A</v>
      </c>
      <c r="U275" s="3" t="e">
        <f>VLOOKUP(D275,LookupLists!$N$4:$T$60,3,FALSE)</f>
        <v>#N/A</v>
      </c>
      <c r="V275" s="3" t="e">
        <f>VLOOKUP(D275,LookupLists!$N$4:$T$60,5,FALSE)</f>
        <v>#N/A</v>
      </c>
    </row>
    <row r="276" spans="5:22" x14ac:dyDescent="0.3">
      <c r="E276" s="3" t="str">
        <f t="shared" si="4"/>
        <v/>
      </c>
      <c r="F276" s="3" t="str">
        <f xml:space="preserve"> IF(E276="","",  IFERROR(VLOOKUP(D276,LookupLists!$N$3:$T$60,6,FALSE)-LEN(E276),0))</f>
        <v/>
      </c>
      <c r="G276" s="3" t="str">
        <f>IF(E276="","",IFERROR(matches(E276,VLOOKUP(D276,LookupLists!$N$3:$T$60,7,FALSE)),FALSE))</f>
        <v/>
      </c>
      <c r="H276" s="3" t="e">
        <f>VLOOKUP(A276,LookupLists!$I$3:$L$60,1,FALSE)</f>
        <v>#N/A</v>
      </c>
      <c r="I276" s="3" t="e">
        <f>VLOOKUP(A276,LookupLists!$I$3:$L$60,2,FALSE)</f>
        <v>#N/A</v>
      </c>
      <c r="J276" s="3" t="e">
        <f>VLOOKUP(A276,LookupLists!$I$3:$L$60,3,FALSE)</f>
        <v>#N/A</v>
      </c>
      <c r="K276" s="3" t="e">
        <f>VLOOKUP(A276,LookupLists!$I$3:$L$60,4,FALSE)</f>
        <v>#N/A</v>
      </c>
      <c r="L276" s="3" t="e">
        <f>VLOOKUP(C276,LookupLists!$A$3:$G$60,1,FALSE)</f>
        <v>#N/A</v>
      </c>
      <c r="M276" s="3" t="e">
        <f>VLOOKUP(C276,LookupLists!$A$3:$G$60,4,FALSE)</f>
        <v>#N/A</v>
      </c>
      <c r="N276" s="3" t="e">
        <f>VLOOKUP(C276,LookupLists!$A$3:$G$60,2,FALSE)</f>
        <v>#N/A</v>
      </c>
      <c r="O276" s="3" t="e">
        <f>VLOOKUP(C276,LookupLists!$A$3:$G$60,3,FALSE)</f>
        <v>#N/A</v>
      </c>
      <c r="P276" s="3" t="e">
        <f>VLOOKUP(C276,LookupLists!$A$3:$G$60,5,FALSE)</f>
        <v>#N/A</v>
      </c>
      <c r="Q276" s="3" t="e">
        <f>VLOOKUP(C276,LookupLists!$A$3:$G$60,6,FALSE)</f>
        <v>#N/A</v>
      </c>
      <c r="R276" s="4" t="e">
        <f>VLOOKUP(C276,LookupLists!$A$3:$G$60,7,FALSE)</f>
        <v>#N/A</v>
      </c>
      <c r="S276" s="3" t="e">
        <f>VLOOKUP(D276,LookupLists!$N$4:$T$60,1,FALSE)</f>
        <v>#N/A</v>
      </c>
      <c r="T276" s="3" t="e">
        <f>VLOOKUP(D276,LookupLists!$N$4:$T$60,2,FALSE)</f>
        <v>#N/A</v>
      </c>
      <c r="U276" s="3" t="e">
        <f>VLOOKUP(D276,LookupLists!$N$4:$T$60,3,FALSE)</f>
        <v>#N/A</v>
      </c>
      <c r="V276" s="3" t="e">
        <f>VLOOKUP(D276,LookupLists!$N$4:$T$60,5,FALSE)</f>
        <v>#N/A</v>
      </c>
    </row>
    <row r="277" spans="5:22" x14ac:dyDescent="0.3">
      <c r="E277" s="3" t="str">
        <f t="shared" si="4"/>
        <v/>
      </c>
      <c r="F277" s="3" t="str">
        <f xml:space="preserve"> IF(E277="","",  IFERROR(VLOOKUP(D277,LookupLists!$N$3:$T$60,6,FALSE)-LEN(E277),0))</f>
        <v/>
      </c>
      <c r="G277" s="3" t="str">
        <f>IF(E277="","",IFERROR(matches(E277,VLOOKUP(D277,LookupLists!$N$3:$T$60,7,FALSE)),FALSE))</f>
        <v/>
      </c>
      <c r="H277" s="3" t="e">
        <f>VLOOKUP(A277,LookupLists!$I$3:$L$60,1,FALSE)</f>
        <v>#N/A</v>
      </c>
      <c r="I277" s="3" t="e">
        <f>VLOOKUP(A277,LookupLists!$I$3:$L$60,2,FALSE)</f>
        <v>#N/A</v>
      </c>
      <c r="J277" s="3" t="e">
        <f>VLOOKUP(A277,LookupLists!$I$3:$L$60,3,FALSE)</f>
        <v>#N/A</v>
      </c>
      <c r="K277" s="3" t="e">
        <f>VLOOKUP(A277,LookupLists!$I$3:$L$60,4,FALSE)</f>
        <v>#N/A</v>
      </c>
      <c r="L277" s="3" t="e">
        <f>VLOOKUP(C277,LookupLists!$A$3:$G$60,1,FALSE)</f>
        <v>#N/A</v>
      </c>
      <c r="M277" s="3" t="e">
        <f>VLOOKUP(C277,LookupLists!$A$3:$G$60,4,FALSE)</f>
        <v>#N/A</v>
      </c>
      <c r="N277" s="3" t="e">
        <f>VLOOKUP(C277,LookupLists!$A$3:$G$60,2,FALSE)</f>
        <v>#N/A</v>
      </c>
      <c r="O277" s="3" t="e">
        <f>VLOOKUP(C277,LookupLists!$A$3:$G$60,3,FALSE)</f>
        <v>#N/A</v>
      </c>
      <c r="P277" s="3" t="e">
        <f>VLOOKUP(C277,LookupLists!$A$3:$G$60,5,FALSE)</f>
        <v>#N/A</v>
      </c>
      <c r="Q277" s="3" t="e">
        <f>VLOOKUP(C277,LookupLists!$A$3:$G$60,6,FALSE)</f>
        <v>#N/A</v>
      </c>
      <c r="R277" s="4" t="e">
        <f>VLOOKUP(C277,LookupLists!$A$3:$G$60,7,FALSE)</f>
        <v>#N/A</v>
      </c>
      <c r="S277" s="3" t="e">
        <f>VLOOKUP(D277,LookupLists!$N$4:$T$60,1,FALSE)</f>
        <v>#N/A</v>
      </c>
      <c r="T277" s="3" t="e">
        <f>VLOOKUP(D277,LookupLists!$N$4:$T$60,2,FALSE)</f>
        <v>#N/A</v>
      </c>
      <c r="U277" s="3" t="e">
        <f>VLOOKUP(D277,LookupLists!$N$4:$T$60,3,FALSE)</f>
        <v>#N/A</v>
      </c>
      <c r="V277" s="3" t="e">
        <f>VLOOKUP(D277,LookupLists!$N$4:$T$60,5,FALSE)</f>
        <v>#N/A</v>
      </c>
    </row>
    <row r="278" spans="5:22" x14ac:dyDescent="0.3">
      <c r="E278" s="3" t="str">
        <f t="shared" si="4"/>
        <v/>
      </c>
      <c r="F278" s="3" t="str">
        <f xml:space="preserve"> IF(E278="","",  IFERROR(VLOOKUP(D278,LookupLists!$N$3:$T$60,6,FALSE)-LEN(E278),0))</f>
        <v/>
      </c>
      <c r="G278" s="3" t="str">
        <f>IF(E278="","",IFERROR(matches(E278,VLOOKUP(D278,LookupLists!$N$3:$T$60,7,FALSE)),FALSE))</f>
        <v/>
      </c>
      <c r="H278" s="3" t="e">
        <f>VLOOKUP(A278,LookupLists!$I$3:$L$60,1,FALSE)</f>
        <v>#N/A</v>
      </c>
      <c r="I278" s="3" t="e">
        <f>VLOOKUP(A278,LookupLists!$I$3:$L$60,2,FALSE)</f>
        <v>#N/A</v>
      </c>
      <c r="J278" s="3" t="e">
        <f>VLOOKUP(A278,LookupLists!$I$3:$L$60,3,FALSE)</f>
        <v>#N/A</v>
      </c>
      <c r="K278" s="3" t="e">
        <f>VLOOKUP(A278,LookupLists!$I$3:$L$60,4,FALSE)</f>
        <v>#N/A</v>
      </c>
      <c r="L278" s="3" t="e">
        <f>VLOOKUP(C278,LookupLists!$A$3:$G$60,1,FALSE)</f>
        <v>#N/A</v>
      </c>
      <c r="M278" s="3" t="e">
        <f>VLOOKUP(C278,LookupLists!$A$3:$G$60,4,FALSE)</f>
        <v>#N/A</v>
      </c>
      <c r="N278" s="3" t="e">
        <f>VLOOKUP(C278,LookupLists!$A$3:$G$60,2,FALSE)</f>
        <v>#N/A</v>
      </c>
      <c r="O278" s="3" t="e">
        <f>VLOOKUP(C278,LookupLists!$A$3:$G$60,3,FALSE)</f>
        <v>#N/A</v>
      </c>
      <c r="P278" s="3" t="e">
        <f>VLOOKUP(C278,LookupLists!$A$3:$G$60,5,FALSE)</f>
        <v>#N/A</v>
      </c>
      <c r="Q278" s="3" t="e">
        <f>VLOOKUP(C278,LookupLists!$A$3:$G$60,6,FALSE)</f>
        <v>#N/A</v>
      </c>
      <c r="R278" s="4" t="e">
        <f>VLOOKUP(C278,LookupLists!$A$3:$G$60,7,FALSE)</f>
        <v>#N/A</v>
      </c>
      <c r="S278" s="3" t="e">
        <f>VLOOKUP(D278,LookupLists!$N$4:$T$60,1,FALSE)</f>
        <v>#N/A</v>
      </c>
      <c r="T278" s="3" t="e">
        <f>VLOOKUP(D278,LookupLists!$N$4:$T$60,2,FALSE)</f>
        <v>#N/A</v>
      </c>
      <c r="U278" s="3" t="e">
        <f>VLOOKUP(D278,LookupLists!$N$4:$T$60,3,FALSE)</f>
        <v>#N/A</v>
      </c>
      <c r="V278" s="3" t="e">
        <f>VLOOKUP(D278,LookupLists!$N$4:$T$60,5,FALSE)</f>
        <v>#N/A</v>
      </c>
    </row>
    <row r="279" spans="5:22" x14ac:dyDescent="0.3">
      <c r="E279" s="3" t="str">
        <f t="shared" si="4"/>
        <v/>
      </c>
      <c r="F279" s="3" t="str">
        <f xml:space="preserve"> IF(E279="","",  IFERROR(VLOOKUP(D279,LookupLists!$N$3:$T$60,6,FALSE)-LEN(E279),0))</f>
        <v/>
      </c>
      <c r="G279" s="3" t="str">
        <f>IF(E279="","",IFERROR(matches(E279,VLOOKUP(D279,LookupLists!$N$3:$T$60,7,FALSE)),FALSE))</f>
        <v/>
      </c>
      <c r="H279" s="3" t="e">
        <f>VLOOKUP(A279,LookupLists!$I$3:$L$60,1,FALSE)</f>
        <v>#N/A</v>
      </c>
      <c r="I279" s="3" t="e">
        <f>VLOOKUP(A279,LookupLists!$I$3:$L$60,2,FALSE)</f>
        <v>#N/A</v>
      </c>
      <c r="J279" s="3" t="e">
        <f>VLOOKUP(A279,LookupLists!$I$3:$L$60,3,FALSE)</f>
        <v>#N/A</v>
      </c>
      <c r="K279" s="3" t="e">
        <f>VLOOKUP(A279,LookupLists!$I$3:$L$60,4,FALSE)</f>
        <v>#N/A</v>
      </c>
      <c r="L279" s="3" t="e">
        <f>VLOOKUP(C279,LookupLists!$A$3:$G$60,1,FALSE)</f>
        <v>#N/A</v>
      </c>
      <c r="M279" s="3" t="e">
        <f>VLOOKUP(C279,LookupLists!$A$3:$G$60,4,FALSE)</f>
        <v>#N/A</v>
      </c>
      <c r="N279" s="3" t="e">
        <f>VLOOKUP(C279,LookupLists!$A$3:$G$60,2,FALSE)</f>
        <v>#N/A</v>
      </c>
      <c r="O279" s="3" t="e">
        <f>VLOOKUP(C279,LookupLists!$A$3:$G$60,3,FALSE)</f>
        <v>#N/A</v>
      </c>
      <c r="P279" s="3" t="e">
        <f>VLOOKUP(C279,LookupLists!$A$3:$G$60,5,FALSE)</f>
        <v>#N/A</v>
      </c>
      <c r="Q279" s="3" t="e">
        <f>VLOOKUP(C279,LookupLists!$A$3:$G$60,6,FALSE)</f>
        <v>#N/A</v>
      </c>
      <c r="R279" s="4" t="e">
        <f>VLOOKUP(C279,LookupLists!$A$3:$G$60,7,FALSE)</f>
        <v>#N/A</v>
      </c>
      <c r="S279" s="3" t="e">
        <f>VLOOKUP(D279,LookupLists!$N$4:$T$60,1,FALSE)</f>
        <v>#N/A</v>
      </c>
      <c r="T279" s="3" t="e">
        <f>VLOOKUP(D279,LookupLists!$N$4:$T$60,2,FALSE)</f>
        <v>#N/A</v>
      </c>
      <c r="U279" s="3" t="e">
        <f>VLOOKUP(D279,LookupLists!$N$4:$T$60,3,FALSE)</f>
        <v>#N/A</v>
      </c>
      <c r="V279" s="3" t="e">
        <f>VLOOKUP(D279,LookupLists!$N$4:$T$60,5,FALSE)</f>
        <v>#N/A</v>
      </c>
    </row>
    <row r="280" spans="5:22" x14ac:dyDescent="0.3">
      <c r="E280" s="3" t="str">
        <f t="shared" si="4"/>
        <v/>
      </c>
      <c r="F280" s="3" t="str">
        <f xml:space="preserve"> IF(E280="","",  IFERROR(VLOOKUP(D280,LookupLists!$N$3:$T$60,6,FALSE)-LEN(E280),0))</f>
        <v/>
      </c>
      <c r="G280" s="3" t="str">
        <f>IF(E280="","",IFERROR(matches(E280,VLOOKUP(D280,LookupLists!$N$3:$T$60,7,FALSE)),FALSE))</f>
        <v/>
      </c>
      <c r="H280" s="3" t="e">
        <f>VLOOKUP(A280,LookupLists!$I$3:$L$60,1,FALSE)</f>
        <v>#N/A</v>
      </c>
      <c r="I280" s="3" t="e">
        <f>VLOOKUP(A280,LookupLists!$I$3:$L$60,2,FALSE)</f>
        <v>#N/A</v>
      </c>
      <c r="J280" s="3" t="e">
        <f>VLOOKUP(A280,LookupLists!$I$3:$L$60,3,FALSE)</f>
        <v>#N/A</v>
      </c>
      <c r="K280" s="3" t="e">
        <f>VLOOKUP(A280,LookupLists!$I$3:$L$60,4,FALSE)</f>
        <v>#N/A</v>
      </c>
      <c r="L280" s="3" t="e">
        <f>VLOOKUP(C280,LookupLists!$A$3:$G$60,1,FALSE)</f>
        <v>#N/A</v>
      </c>
      <c r="M280" s="3" t="e">
        <f>VLOOKUP(C280,LookupLists!$A$3:$G$60,4,FALSE)</f>
        <v>#N/A</v>
      </c>
      <c r="N280" s="3" t="e">
        <f>VLOOKUP(C280,LookupLists!$A$3:$G$60,2,FALSE)</f>
        <v>#N/A</v>
      </c>
      <c r="O280" s="3" t="e">
        <f>VLOOKUP(C280,LookupLists!$A$3:$G$60,3,FALSE)</f>
        <v>#N/A</v>
      </c>
      <c r="P280" s="3" t="e">
        <f>VLOOKUP(C280,LookupLists!$A$3:$G$60,5,FALSE)</f>
        <v>#N/A</v>
      </c>
      <c r="Q280" s="3" t="e">
        <f>VLOOKUP(C280,LookupLists!$A$3:$G$60,6,FALSE)</f>
        <v>#N/A</v>
      </c>
      <c r="R280" s="4" t="e">
        <f>VLOOKUP(C280,LookupLists!$A$3:$G$60,7,FALSE)</f>
        <v>#N/A</v>
      </c>
      <c r="S280" s="3" t="e">
        <f>VLOOKUP(D280,LookupLists!$N$4:$T$60,1,FALSE)</f>
        <v>#N/A</v>
      </c>
      <c r="T280" s="3" t="e">
        <f>VLOOKUP(D280,LookupLists!$N$4:$T$60,2,FALSE)</f>
        <v>#N/A</v>
      </c>
      <c r="U280" s="3" t="e">
        <f>VLOOKUP(D280,LookupLists!$N$4:$T$60,3,FALSE)</f>
        <v>#N/A</v>
      </c>
      <c r="V280" s="3" t="e">
        <f>VLOOKUP(D280,LookupLists!$N$4:$T$60,5,FALSE)</f>
        <v>#N/A</v>
      </c>
    </row>
    <row r="281" spans="5:22" x14ac:dyDescent="0.3">
      <c r="E281" s="3" t="str">
        <f t="shared" si="4"/>
        <v/>
      </c>
      <c r="F281" s="3" t="str">
        <f xml:space="preserve"> IF(E281="","",  IFERROR(VLOOKUP(D281,LookupLists!$N$3:$T$60,6,FALSE)-LEN(E281),0))</f>
        <v/>
      </c>
      <c r="G281" s="3" t="str">
        <f>IF(E281="","",IFERROR(matches(E281,VLOOKUP(D281,LookupLists!$N$3:$T$60,7,FALSE)),FALSE))</f>
        <v/>
      </c>
      <c r="H281" s="3" t="e">
        <f>VLOOKUP(A281,LookupLists!$I$3:$L$60,1,FALSE)</f>
        <v>#N/A</v>
      </c>
      <c r="I281" s="3" t="e">
        <f>VLOOKUP(A281,LookupLists!$I$3:$L$60,2,FALSE)</f>
        <v>#N/A</v>
      </c>
      <c r="J281" s="3" t="e">
        <f>VLOOKUP(A281,LookupLists!$I$3:$L$60,3,FALSE)</f>
        <v>#N/A</v>
      </c>
      <c r="K281" s="3" t="e">
        <f>VLOOKUP(A281,LookupLists!$I$3:$L$60,4,FALSE)</f>
        <v>#N/A</v>
      </c>
      <c r="L281" s="3" t="e">
        <f>VLOOKUP(C281,LookupLists!$A$3:$G$60,1,FALSE)</f>
        <v>#N/A</v>
      </c>
      <c r="M281" s="3" t="e">
        <f>VLOOKUP(C281,LookupLists!$A$3:$G$60,4,FALSE)</f>
        <v>#N/A</v>
      </c>
      <c r="N281" s="3" t="e">
        <f>VLOOKUP(C281,LookupLists!$A$3:$G$60,2,FALSE)</f>
        <v>#N/A</v>
      </c>
      <c r="O281" s="3" t="e">
        <f>VLOOKUP(C281,LookupLists!$A$3:$G$60,3,FALSE)</f>
        <v>#N/A</v>
      </c>
      <c r="P281" s="3" t="e">
        <f>VLOOKUP(C281,LookupLists!$A$3:$G$60,5,FALSE)</f>
        <v>#N/A</v>
      </c>
      <c r="Q281" s="3" t="e">
        <f>VLOOKUP(C281,LookupLists!$A$3:$G$60,6,FALSE)</f>
        <v>#N/A</v>
      </c>
      <c r="R281" s="4" t="e">
        <f>VLOOKUP(C281,LookupLists!$A$3:$G$60,7,FALSE)</f>
        <v>#N/A</v>
      </c>
      <c r="S281" s="3" t="e">
        <f>VLOOKUP(D281,LookupLists!$N$4:$T$60,1,FALSE)</f>
        <v>#N/A</v>
      </c>
      <c r="T281" s="3" t="e">
        <f>VLOOKUP(D281,LookupLists!$N$4:$T$60,2,FALSE)</f>
        <v>#N/A</v>
      </c>
      <c r="U281" s="3" t="e">
        <f>VLOOKUP(D281,LookupLists!$N$4:$T$60,3,FALSE)</f>
        <v>#N/A</v>
      </c>
      <c r="V281" s="3" t="e">
        <f>VLOOKUP(D281,LookupLists!$N$4:$T$60,5,FALSE)</f>
        <v>#N/A</v>
      </c>
    </row>
    <row r="282" spans="5:22" x14ac:dyDescent="0.3">
      <c r="E282" s="3" t="str">
        <f t="shared" si="4"/>
        <v/>
      </c>
      <c r="F282" s="3" t="str">
        <f xml:space="preserve"> IF(E282="","",  IFERROR(VLOOKUP(D282,LookupLists!$N$3:$T$60,6,FALSE)-LEN(E282),0))</f>
        <v/>
      </c>
      <c r="G282" s="3" t="str">
        <f>IF(E282="","",IFERROR(matches(E282,VLOOKUP(D282,LookupLists!$N$3:$T$60,7,FALSE)),FALSE))</f>
        <v/>
      </c>
      <c r="H282" s="3" t="e">
        <f>VLOOKUP(A282,LookupLists!$I$3:$L$60,1,FALSE)</f>
        <v>#N/A</v>
      </c>
      <c r="I282" s="3" t="e">
        <f>VLOOKUP(A282,LookupLists!$I$3:$L$60,2,FALSE)</f>
        <v>#N/A</v>
      </c>
      <c r="J282" s="3" t="e">
        <f>VLOOKUP(A282,LookupLists!$I$3:$L$60,3,FALSE)</f>
        <v>#N/A</v>
      </c>
      <c r="K282" s="3" t="e">
        <f>VLOOKUP(A282,LookupLists!$I$3:$L$60,4,FALSE)</f>
        <v>#N/A</v>
      </c>
      <c r="L282" s="3" t="e">
        <f>VLOOKUP(C282,LookupLists!$A$3:$G$60,1,FALSE)</f>
        <v>#N/A</v>
      </c>
      <c r="M282" s="3" t="e">
        <f>VLOOKUP(C282,LookupLists!$A$3:$G$60,4,FALSE)</f>
        <v>#N/A</v>
      </c>
      <c r="N282" s="3" t="e">
        <f>VLOOKUP(C282,LookupLists!$A$3:$G$60,2,FALSE)</f>
        <v>#N/A</v>
      </c>
      <c r="O282" s="3" t="e">
        <f>VLOOKUP(C282,LookupLists!$A$3:$G$60,3,FALSE)</f>
        <v>#N/A</v>
      </c>
      <c r="P282" s="3" t="e">
        <f>VLOOKUP(C282,LookupLists!$A$3:$G$60,5,FALSE)</f>
        <v>#N/A</v>
      </c>
      <c r="Q282" s="3" t="e">
        <f>VLOOKUP(C282,LookupLists!$A$3:$G$60,6,FALSE)</f>
        <v>#N/A</v>
      </c>
      <c r="R282" s="4" t="e">
        <f>VLOOKUP(C282,LookupLists!$A$3:$G$60,7,FALSE)</f>
        <v>#N/A</v>
      </c>
      <c r="S282" s="3" t="e">
        <f>VLOOKUP(D282,LookupLists!$N$4:$T$60,1,FALSE)</f>
        <v>#N/A</v>
      </c>
      <c r="T282" s="3" t="e">
        <f>VLOOKUP(D282,LookupLists!$N$4:$T$60,2,FALSE)</f>
        <v>#N/A</v>
      </c>
      <c r="U282" s="3" t="e">
        <f>VLOOKUP(D282,LookupLists!$N$4:$T$60,3,FALSE)</f>
        <v>#N/A</v>
      </c>
      <c r="V282" s="3" t="e">
        <f>VLOOKUP(D282,LookupLists!$N$4:$T$60,5,FALSE)</f>
        <v>#N/A</v>
      </c>
    </row>
    <row r="283" spans="5:22" x14ac:dyDescent="0.3">
      <c r="E283" s="3" t="str">
        <f t="shared" si="4"/>
        <v/>
      </c>
      <c r="F283" s="3" t="str">
        <f xml:space="preserve"> IF(E283="","",  IFERROR(VLOOKUP(D283,LookupLists!$N$3:$T$60,6,FALSE)-LEN(E283),0))</f>
        <v/>
      </c>
      <c r="G283" s="3" t="str">
        <f>IF(E283="","",IFERROR(matches(E283,VLOOKUP(D283,LookupLists!$N$3:$T$60,7,FALSE)),FALSE))</f>
        <v/>
      </c>
      <c r="H283" s="3" t="e">
        <f>VLOOKUP(A283,LookupLists!$I$3:$L$60,1,FALSE)</f>
        <v>#N/A</v>
      </c>
      <c r="I283" s="3" t="e">
        <f>VLOOKUP(A283,LookupLists!$I$3:$L$60,2,FALSE)</f>
        <v>#N/A</v>
      </c>
      <c r="J283" s="3" t="e">
        <f>VLOOKUP(A283,LookupLists!$I$3:$L$60,3,FALSE)</f>
        <v>#N/A</v>
      </c>
      <c r="K283" s="3" t="e">
        <f>VLOOKUP(A283,LookupLists!$I$3:$L$60,4,FALSE)</f>
        <v>#N/A</v>
      </c>
      <c r="L283" s="3" t="e">
        <f>VLOOKUP(C283,LookupLists!$A$3:$G$60,1,FALSE)</f>
        <v>#N/A</v>
      </c>
      <c r="M283" s="3" t="e">
        <f>VLOOKUP(C283,LookupLists!$A$3:$G$60,4,FALSE)</f>
        <v>#N/A</v>
      </c>
      <c r="N283" s="3" t="e">
        <f>VLOOKUP(C283,LookupLists!$A$3:$G$60,2,FALSE)</f>
        <v>#N/A</v>
      </c>
      <c r="O283" s="3" t="e">
        <f>VLOOKUP(C283,LookupLists!$A$3:$G$60,3,FALSE)</f>
        <v>#N/A</v>
      </c>
      <c r="P283" s="3" t="e">
        <f>VLOOKUP(C283,LookupLists!$A$3:$G$60,5,FALSE)</f>
        <v>#N/A</v>
      </c>
      <c r="Q283" s="3" t="e">
        <f>VLOOKUP(C283,LookupLists!$A$3:$G$60,6,FALSE)</f>
        <v>#N/A</v>
      </c>
      <c r="R283" s="4" t="e">
        <f>VLOOKUP(C283,LookupLists!$A$3:$G$60,7,FALSE)</f>
        <v>#N/A</v>
      </c>
      <c r="S283" s="3" t="e">
        <f>VLOOKUP(D283,LookupLists!$N$4:$T$60,1,FALSE)</f>
        <v>#N/A</v>
      </c>
      <c r="T283" s="3" t="e">
        <f>VLOOKUP(D283,LookupLists!$N$4:$T$60,2,FALSE)</f>
        <v>#N/A</v>
      </c>
      <c r="U283" s="3" t="e">
        <f>VLOOKUP(D283,LookupLists!$N$4:$T$60,3,FALSE)</f>
        <v>#N/A</v>
      </c>
      <c r="V283" s="3" t="e">
        <f>VLOOKUP(D283,LookupLists!$N$4:$T$60,5,FALSE)</f>
        <v>#N/A</v>
      </c>
    </row>
    <row r="284" spans="5:22" x14ac:dyDescent="0.3">
      <c r="E284" s="3" t="str">
        <f t="shared" si="4"/>
        <v/>
      </c>
      <c r="F284" s="3" t="str">
        <f xml:space="preserve"> IF(E284="","",  IFERROR(VLOOKUP(D284,LookupLists!$N$3:$T$60,6,FALSE)-LEN(E284),0))</f>
        <v/>
      </c>
      <c r="G284" s="3" t="str">
        <f>IF(E284="","",IFERROR(matches(E284,VLOOKUP(D284,LookupLists!$N$3:$T$60,7,FALSE)),FALSE))</f>
        <v/>
      </c>
      <c r="H284" s="3" t="e">
        <f>VLOOKUP(A284,LookupLists!$I$3:$L$60,1,FALSE)</f>
        <v>#N/A</v>
      </c>
      <c r="I284" s="3" t="e">
        <f>VLOOKUP(A284,LookupLists!$I$3:$L$60,2,FALSE)</f>
        <v>#N/A</v>
      </c>
      <c r="J284" s="3" t="e">
        <f>VLOOKUP(A284,LookupLists!$I$3:$L$60,3,FALSE)</f>
        <v>#N/A</v>
      </c>
      <c r="K284" s="3" t="e">
        <f>VLOOKUP(A284,LookupLists!$I$3:$L$60,4,FALSE)</f>
        <v>#N/A</v>
      </c>
      <c r="L284" s="3" t="e">
        <f>VLOOKUP(C284,LookupLists!$A$3:$G$60,1,FALSE)</f>
        <v>#N/A</v>
      </c>
      <c r="M284" s="3" t="e">
        <f>VLOOKUP(C284,LookupLists!$A$3:$G$60,4,FALSE)</f>
        <v>#N/A</v>
      </c>
      <c r="N284" s="3" t="e">
        <f>VLOOKUP(C284,LookupLists!$A$3:$G$60,2,FALSE)</f>
        <v>#N/A</v>
      </c>
      <c r="O284" s="3" t="e">
        <f>VLOOKUP(C284,LookupLists!$A$3:$G$60,3,FALSE)</f>
        <v>#N/A</v>
      </c>
      <c r="P284" s="3" t="e">
        <f>VLOOKUP(C284,LookupLists!$A$3:$G$60,5,FALSE)</f>
        <v>#N/A</v>
      </c>
      <c r="Q284" s="3" t="e">
        <f>VLOOKUP(C284,LookupLists!$A$3:$G$60,6,FALSE)</f>
        <v>#N/A</v>
      </c>
      <c r="R284" s="4" t="e">
        <f>VLOOKUP(C284,LookupLists!$A$3:$G$60,7,FALSE)</f>
        <v>#N/A</v>
      </c>
      <c r="S284" s="3" t="e">
        <f>VLOOKUP(D284,LookupLists!$N$4:$T$60,1,FALSE)</f>
        <v>#N/A</v>
      </c>
      <c r="T284" s="3" t="e">
        <f>VLOOKUP(D284,LookupLists!$N$4:$T$60,2,FALSE)</f>
        <v>#N/A</v>
      </c>
      <c r="U284" s="3" t="e">
        <f>VLOOKUP(D284,LookupLists!$N$4:$T$60,3,FALSE)</f>
        <v>#N/A</v>
      </c>
      <c r="V284" s="3" t="e">
        <f>VLOOKUP(D284,LookupLists!$N$4:$T$60,5,FALSE)</f>
        <v>#N/A</v>
      </c>
    </row>
    <row r="285" spans="5:22" x14ac:dyDescent="0.3">
      <c r="E285" s="3" t="str">
        <f t="shared" si="4"/>
        <v/>
      </c>
      <c r="F285" s="3" t="str">
        <f xml:space="preserve"> IF(E285="","",  IFERROR(VLOOKUP(D285,LookupLists!$N$3:$T$60,6,FALSE)-LEN(E285),0))</f>
        <v/>
      </c>
      <c r="G285" s="3" t="str">
        <f>IF(E285="","",IFERROR(matches(E285,VLOOKUP(D285,LookupLists!$N$3:$T$60,7,FALSE)),FALSE))</f>
        <v/>
      </c>
      <c r="H285" s="3" t="e">
        <f>VLOOKUP(A285,LookupLists!$I$3:$L$60,1,FALSE)</f>
        <v>#N/A</v>
      </c>
      <c r="I285" s="3" t="e">
        <f>VLOOKUP(A285,LookupLists!$I$3:$L$60,2,FALSE)</f>
        <v>#N/A</v>
      </c>
      <c r="J285" s="3" t="e">
        <f>VLOOKUP(A285,LookupLists!$I$3:$L$60,3,FALSE)</f>
        <v>#N/A</v>
      </c>
      <c r="K285" s="3" t="e">
        <f>VLOOKUP(A285,LookupLists!$I$3:$L$60,4,FALSE)</f>
        <v>#N/A</v>
      </c>
      <c r="L285" s="3" t="e">
        <f>VLOOKUP(C285,LookupLists!$A$3:$G$60,1,FALSE)</f>
        <v>#N/A</v>
      </c>
      <c r="M285" s="3" t="e">
        <f>VLOOKUP(C285,LookupLists!$A$3:$G$60,4,FALSE)</f>
        <v>#N/A</v>
      </c>
      <c r="N285" s="3" t="e">
        <f>VLOOKUP(C285,LookupLists!$A$3:$G$60,2,FALSE)</f>
        <v>#N/A</v>
      </c>
      <c r="O285" s="3" t="e">
        <f>VLOOKUP(C285,LookupLists!$A$3:$G$60,3,FALSE)</f>
        <v>#N/A</v>
      </c>
      <c r="P285" s="3" t="e">
        <f>VLOOKUP(C285,LookupLists!$A$3:$G$60,5,FALSE)</f>
        <v>#N/A</v>
      </c>
      <c r="Q285" s="3" t="e">
        <f>VLOOKUP(C285,LookupLists!$A$3:$G$60,6,FALSE)</f>
        <v>#N/A</v>
      </c>
      <c r="R285" s="4" t="e">
        <f>VLOOKUP(C285,LookupLists!$A$3:$G$60,7,FALSE)</f>
        <v>#N/A</v>
      </c>
      <c r="S285" s="3" t="e">
        <f>VLOOKUP(D285,LookupLists!$N$4:$T$60,1,FALSE)</f>
        <v>#N/A</v>
      </c>
      <c r="T285" s="3" t="e">
        <f>VLOOKUP(D285,LookupLists!$N$4:$T$60,2,FALSE)</f>
        <v>#N/A</v>
      </c>
      <c r="U285" s="3" t="e">
        <f>VLOOKUP(D285,LookupLists!$N$4:$T$60,3,FALSE)</f>
        <v>#N/A</v>
      </c>
      <c r="V285" s="3" t="e">
        <f>VLOOKUP(D285,LookupLists!$N$4:$T$60,5,FALSE)</f>
        <v>#N/A</v>
      </c>
    </row>
    <row r="286" spans="5:22" x14ac:dyDescent="0.3">
      <c r="E286" s="3" t="str">
        <f t="shared" si="4"/>
        <v/>
      </c>
      <c r="F286" s="3" t="str">
        <f xml:space="preserve"> IF(E286="","",  IFERROR(VLOOKUP(D286,LookupLists!$N$3:$T$60,6,FALSE)-LEN(E286),0))</f>
        <v/>
      </c>
      <c r="G286" s="3" t="str">
        <f>IF(E286="","",IFERROR(matches(E286,VLOOKUP(D286,LookupLists!$N$3:$T$60,7,FALSE)),FALSE))</f>
        <v/>
      </c>
      <c r="H286" s="3" t="e">
        <f>VLOOKUP(A286,LookupLists!$I$3:$L$60,1,FALSE)</f>
        <v>#N/A</v>
      </c>
      <c r="I286" s="3" t="e">
        <f>VLOOKUP(A286,LookupLists!$I$3:$L$60,2,FALSE)</f>
        <v>#N/A</v>
      </c>
      <c r="J286" s="3" t="e">
        <f>VLOOKUP(A286,LookupLists!$I$3:$L$60,3,FALSE)</f>
        <v>#N/A</v>
      </c>
      <c r="K286" s="3" t="e">
        <f>VLOOKUP(A286,LookupLists!$I$3:$L$60,4,FALSE)</f>
        <v>#N/A</v>
      </c>
      <c r="L286" s="3" t="e">
        <f>VLOOKUP(C286,LookupLists!$A$3:$G$60,1,FALSE)</f>
        <v>#N/A</v>
      </c>
      <c r="M286" s="3" t="e">
        <f>VLOOKUP(C286,LookupLists!$A$3:$G$60,4,FALSE)</f>
        <v>#N/A</v>
      </c>
      <c r="N286" s="3" t="e">
        <f>VLOOKUP(C286,LookupLists!$A$3:$G$60,2,FALSE)</f>
        <v>#N/A</v>
      </c>
      <c r="O286" s="3" t="e">
        <f>VLOOKUP(C286,LookupLists!$A$3:$G$60,3,FALSE)</f>
        <v>#N/A</v>
      </c>
      <c r="P286" s="3" t="e">
        <f>VLOOKUP(C286,LookupLists!$A$3:$G$60,5,FALSE)</f>
        <v>#N/A</v>
      </c>
      <c r="Q286" s="3" t="e">
        <f>VLOOKUP(C286,LookupLists!$A$3:$G$60,6,FALSE)</f>
        <v>#N/A</v>
      </c>
      <c r="R286" s="4" t="e">
        <f>VLOOKUP(C286,LookupLists!$A$3:$G$60,7,FALSE)</f>
        <v>#N/A</v>
      </c>
      <c r="S286" s="3" t="e">
        <f>VLOOKUP(D286,LookupLists!$N$4:$T$60,1,FALSE)</f>
        <v>#N/A</v>
      </c>
      <c r="T286" s="3" t="e">
        <f>VLOOKUP(D286,LookupLists!$N$4:$T$60,2,FALSE)</f>
        <v>#N/A</v>
      </c>
      <c r="U286" s="3" t="e">
        <f>VLOOKUP(D286,LookupLists!$N$4:$T$60,3,FALSE)</f>
        <v>#N/A</v>
      </c>
      <c r="V286" s="3" t="e">
        <f>VLOOKUP(D286,LookupLists!$N$4:$T$60,5,FALSE)</f>
        <v>#N/A</v>
      </c>
    </row>
    <row r="287" spans="5:22" x14ac:dyDescent="0.3">
      <c r="E287" s="3" t="str">
        <f t="shared" si="4"/>
        <v/>
      </c>
      <c r="F287" s="3" t="str">
        <f xml:space="preserve"> IF(E287="","",  IFERROR(VLOOKUP(D287,LookupLists!$N$3:$T$60,6,FALSE)-LEN(E287),0))</f>
        <v/>
      </c>
      <c r="G287" s="3" t="str">
        <f>IF(E287="","",IFERROR(matches(E287,VLOOKUP(D287,LookupLists!$N$3:$T$60,7,FALSE)),FALSE))</f>
        <v/>
      </c>
      <c r="H287" s="3" t="e">
        <f>VLOOKUP(A287,LookupLists!$I$3:$L$60,1,FALSE)</f>
        <v>#N/A</v>
      </c>
      <c r="I287" s="3" t="e">
        <f>VLOOKUP(A287,LookupLists!$I$3:$L$60,2,FALSE)</f>
        <v>#N/A</v>
      </c>
      <c r="J287" s="3" t="e">
        <f>VLOOKUP(A287,LookupLists!$I$3:$L$60,3,FALSE)</f>
        <v>#N/A</v>
      </c>
      <c r="K287" s="3" t="e">
        <f>VLOOKUP(A287,LookupLists!$I$3:$L$60,4,FALSE)</f>
        <v>#N/A</v>
      </c>
      <c r="L287" s="3" t="e">
        <f>VLOOKUP(C287,LookupLists!$A$3:$G$60,1,FALSE)</f>
        <v>#N/A</v>
      </c>
      <c r="M287" s="3" t="e">
        <f>VLOOKUP(C287,LookupLists!$A$3:$G$60,4,FALSE)</f>
        <v>#N/A</v>
      </c>
      <c r="N287" s="3" t="e">
        <f>VLOOKUP(C287,LookupLists!$A$3:$G$60,2,FALSE)</f>
        <v>#N/A</v>
      </c>
      <c r="O287" s="3" t="e">
        <f>VLOOKUP(C287,LookupLists!$A$3:$G$60,3,FALSE)</f>
        <v>#N/A</v>
      </c>
      <c r="P287" s="3" t="e">
        <f>VLOOKUP(C287,LookupLists!$A$3:$G$60,5,FALSE)</f>
        <v>#N/A</v>
      </c>
      <c r="Q287" s="3" t="e">
        <f>VLOOKUP(C287,LookupLists!$A$3:$G$60,6,FALSE)</f>
        <v>#N/A</v>
      </c>
      <c r="R287" s="4" t="e">
        <f>VLOOKUP(C287,LookupLists!$A$3:$G$60,7,FALSE)</f>
        <v>#N/A</v>
      </c>
      <c r="S287" s="3" t="e">
        <f>VLOOKUP(D287,LookupLists!$N$4:$T$60,1,FALSE)</f>
        <v>#N/A</v>
      </c>
      <c r="T287" s="3" t="e">
        <f>VLOOKUP(D287,LookupLists!$N$4:$T$60,2,FALSE)</f>
        <v>#N/A</v>
      </c>
      <c r="U287" s="3" t="e">
        <f>VLOOKUP(D287,LookupLists!$N$4:$T$60,3,FALSE)</f>
        <v>#N/A</v>
      </c>
      <c r="V287" s="3" t="e">
        <f>VLOOKUP(D287,LookupLists!$N$4:$T$60,5,FALSE)</f>
        <v>#N/A</v>
      </c>
    </row>
    <row r="288" spans="5:22" x14ac:dyDescent="0.3">
      <c r="E288" s="3" t="str">
        <f t="shared" si="4"/>
        <v/>
      </c>
      <c r="F288" s="3" t="str">
        <f xml:space="preserve"> IF(E288="","",  IFERROR(VLOOKUP(D288,LookupLists!$N$3:$T$60,6,FALSE)-LEN(E288),0))</f>
        <v/>
      </c>
      <c r="G288" s="3" t="str">
        <f>IF(E288="","",IFERROR(matches(E288,VLOOKUP(D288,LookupLists!$N$3:$T$60,7,FALSE)),FALSE))</f>
        <v/>
      </c>
      <c r="H288" s="3" t="e">
        <f>VLOOKUP(A288,LookupLists!$I$3:$L$60,1,FALSE)</f>
        <v>#N/A</v>
      </c>
      <c r="I288" s="3" t="e">
        <f>VLOOKUP(A288,LookupLists!$I$3:$L$60,2,FALSE)</f>
        <v>#N/A</v>
      </c>
      <c r="J288" s="3" t="e">
        <f>VLOOKUP(A288,LookupLists!$I$3:$L$60,3,FALSE)</f>
        <v>#N/A</v>
      </c>
      <c r="K288" s="3" t="e">
        <f>VLOOKUP(A288,LookupLists!$I$3:$L$60,4,FALSE)</f>
        <v>#N/A</v>
      </c>
      <c r="L288" s="3" t="e">
        <f>VLOOKUP(C288,LookupLists!$A$3:$G$60,1,FALSE)</f>
        <v>#N/A</v>
      </c>
      <c r="M288" s="3" t="e">
        <f>VLOOKUP(C288,LookupLists!$A$3:$G$60,4,FALSE)</f>
        <v>#N/A</v>
      </c>
      <c r="N288" s="3" t="e">
        <f>VLOOKUP(C288,LookupLists!$A$3:$G$60,2,FALSE)</f>
        <v>#N/A</v>
      </c>
      <c r="O288" s="3" t="e">
        <f>VLOOKUP(C288,LookupLists!$A$3:$G$60,3,FALSE)</f>
        <v>#N/A</v>
      </c>
      <c r="P288" s="3" t="e">
        <f>VLOOKUP(C288,LookupLists!$A$3:$G$60,5,FALSE)</f>
        <v>#N/A</v>
      </c>
      <c r="Q288" s="3" t="e">
        <f>VLOOKUP(C288,LookupLists!$A$3:$G$60,6,FALSE)</f>
        <v>#N/A</v>
      </c>
      <c r="R288" s="4" t="e">
        <f>VLOOKUP(C288,LookupLists!$A$3:$G$60,7,FALSE)</f>
        <v>#N/A</v>
      </c>
      <c r="S288" s="3" t="e">
        <f>VLOOKUP(D288,LookupLists!$N$4:$T$60,1,FALSE)</f>
        <v>#N/A</v>
      </c>
      <c r="T288" s="3" t="e">
        <f>VLOOKUP(D288,LookupLists!$N$4:$T$60,2,FALSE)</f>
        <v>#N/A</v>
      </c>
      <c r="U288" s="3" t="e">
        <f>VLOOKUP(D288,LookupLists!$N$4:$T$60,3,FALSE)</f>
        <v>#N/A</v>
      </c>
      <c r="V288" s="3" t="e">
        <f>VLOOKUP(D288,LookupLists!$N$4:$T$60,5,FALSE)</f>
        <v>#N/A</v>
      </c>
    </row>
    <row r="289" spans="5:22" x14ac:dyDescent="0.3">
      <c r="E289" s="3" t="str">
        <f t="shared" si="4"/>
        <v/>
      </c>
      <c r="F289" s="3" t="str">
        <f xml:space="preserve"> IF(E289="","",  IFERROR(VLOOKUP(D289,LookupLists!$N$3:$T$60,6,FALSE)-LEN(E289),0))</f>
        <v/>
      </c>
      <c r="G289" s="3" t="str">
        <f>IF(E289="","",IFERROR(matches(E289,VLOOKUP(D289,LookupLists!$N$3:$T$60,7,FALSE)),FALSE))</f>
        <v/>
      </c>
      <c r="H289" s="3" t="e">
        <f>VLOOKUP(A289,LookupLists!$I$3:$L$60,1,FALSE)</f>
        <v>#N/A</v>
      </c>
      <c r="I289" s="3" t="e">
        <f>VLOOKUP(A289,LookupLists!$I$3:$L$60,2,FALSE)</f>
        <v>#N/A</v>
      </c>
      <c r="J289" s="3" t="e">
        <f>VLOOKUP(A289,LookupLists!$I$3:$L$60,3,FALSE)</f>
        <v>#N/A</v>
      </c>
      <c r="K289" s="3" t="e">
        <f>VLOOKUP(A289,LookupLists!$I$3:$L$60,4,FALSE)</f>
        <v>#N/A</v>
      </c>
      <c r="L289" s="3" t="e">
        <f>VLOOKUP(C289,LookupLists!$A$3:$G$60,1,FALSE)</f>
        <v>#N/A</v>
      </c>
      <c r="M289" s="3" t="e">
        <f>VLOOKUP(C289,LookupLists!$A$3:$G$60,4,FALSE)</f>
        <v>#N/A</v>
      </c>
      <c r="N289" s="3" t="e">
        <f>VLOOKUP(C289,LookupLists!$A$3:$G$60,2,FALSE)</f>
        <v>#N/A</v>
      </c>
      <c r="O289" s="3" t="e">
        <f>VLOOKUP(C289,LookupLists!$A$3:$G$60,3,FALSE)</f>
        <v>#N/A</v>
      </c>
      <c r="P289" s="3" t="e">
        <f>VLOOKUP(C289,LookupLists!$A$3:$G$60,5,FALSE)</f>
        <v>#N/A</v>
      </c>
      <c r="Q289" s="3" t="e">
        <f>VLOOKUP(C289,LookupLists!$A$3:$G$60,6,FALSE)</f>
        <v>#N/A</v>
      </c>
      <c r="R289" s="4" t="e">
        <f>VLOOKUP(C289,LookupLists!$A$3:$G$60,7,FALSE)</f>
        <v>#N/A</v>
      </c>
      <c r="S289" s="3" t="e">
        <f>VLOOKUP(D289,LookupLists!$N$4:$T$60,1,FALSE)</f>
        <v>#N/A</v>
      </c>
      <c r="T289" s="3" t="e">
        <f>VLOOKUP(D289,LookupLists!$N$4:$T$60,2,FALSE)</f>
        <v>#N/A</v>
      </c>
      <c r="U289" s="3" t="e">
        <f>VLOOKUP(D289,LookupLists!$N$4:$T$60,3,FALSE)</f>
        <v>#N/A</v>
      </c>
      <c r="V289" s="3" t="e">
        <f>VLOOKUP(D289,LookupLists!$N$4:$T$60,5,FALSE)</f>
        <v>#N/A</v>
      </c>
    </row>
    <row r="290" spans="5:22" x14ac:dyDescent="0.3">
      <c r="E290" s="3" t="str">
        <f t="shared" si="4"/>
        <v/>
      </c>
      <c r="F290" s="3" t="str">
        <f xml:space="preserve"> IF(E290="","",  IFERROR(VLOOKUP(D290,LookupLists!$N$3:$T$60,6,FALSE)-LEN(E290),0))</f>
        <v/>
      </c>
      <c r="G290" s="3" t="str">
        <f>IF(E290="","",IFERROR(matches(E290,VLOOKUP(D290,LookupLists!$N$3:$T$60,7,FALSE)),FALSE))</f>
        <v/>
      </c>
      <c r="H290" s="3" t="e">
        <f>VLOOKUP(A290,LookupLists!$I$3:$L$60,1,FALSE)</f>
        <v>#N/A</v>
      </c>
      <c r="I290" s="3" t="e">
        <f>VLOOKUP(A290,LookupLists!$I$3:$L$60,2,FALSE)</f>
        <v>#N/A</v>
      </c>
      <c r="J290" s="3" t="e">
        <f>VLOOKUP(A290,LookupLists!$I$3:$L$60,3,FALSE)</f>
        <v>#N/A</v>
      </c>
      <c r="K290" s="3" t="e">
        <f>VLOOKUP(A290,LookupLists!$I$3:$L$60,4,FALSE)</f>
        <v>#N/A</v>
      </c>
      <c r="L290" s="3" t="e">
        <f>VLOOKUP(C290,LookupLists!$A$3:$G$60,1,FALSE)</f>
        <v>#N/A</v>
      </c>
      <c r="M290" s="3" t="e">
        <f>VLOOKUP(C290,LookupLists!$A$3:$G$60,4,FALSE)</f>
        <v>#N/A</v>
      </c>
      <c r="N290" s="3" t="e">
        <f>VLOOKUP(C290,LookupLists!$A$3:$G$60,2,FALSE)</f>
        <v>#N/A</v>
      </c>
      <c r="O290" s="3" t="e">
        <f>VLOOKUP(C290,LookupLists!$A$3:$G$60,3,FALSE)</f>
        <v>#N/A</v>
      </c>
      <c r="P290" s="3" t="e">
        <f>VLOOKUP(C290,LookupLists!$A$3:$G$60,5,FALSE)</f>
        <v>#N/A</v>
      </c>
      <c r="Q290" s="3" t="e">
        <f>VLOOKUP(C290,LookupLists!$A$3:$G$60,6,FALSE)</f>
        <v>#N/A</v>
      </c>
      <c r="R290" s="4" t="e">
        <f>VLOOKUP(C290,LookupLists!$A$3:$G$60,7,FALSE)</f>
        <v>#N/A</v>
      </c>
      <c r="S290" s="3" t="e">
        <f>VLOOKUP(D290,LookupLists!$N$4:$T$60,1,FALSE)</f>
        <v>#N/A</v>
      </c>
      <c r="T290" s="3" t="e">
        <f>VLOOKUP(D290,LookupLists!$N$4:$T$60,2,FALSE)</f>
        <v>#N/A</v>
      </c>
      <c r="U290" s="3" t="e">
        <f>VLOOKUP(D290,LookupLists!$N$4:$T$60,3,FALSE)</f>
        <v>#N/A</v>
      </c>
      <c r="V290" s="3" t="e">
        <f>VLOOKUP(D290,LookupLists!$N$4:$T$60,5,FALSE)</f>
        <v>#N/A</v>
      </c>
    </row>
    <row r="291" spans="5:22" x14ac:dyDescent="0.3">
      <c r="E291" s="3" t="str">
        <f t="shared" si="4"/>
        <v/>
      </c>
      <c r="F291" s="3" t="str">
        <f xml:space="preserve"> IF(E291="","",  IFERROR(VLOOKUP(D291,LookupLists!$N$3:$T$60,6,FALSE)-LEN(E291),0))</f>
        <v/>
      </c>
      <c r="G291" s="3" t="str">
        <f>IF(E291="","",IFERROR(matches(E291,VLOOKUP(D291,LookupLists!$N$3:$T$60,7,FALSE)),FALSE))</f>
        <v/>
      </c>
      <c r="H291" s="3" t="e">
        <f>VLOOKUP(A291,LookupLists!$I$3:$L$60,1,FALSE)</f>
        <v>#N/A</v>
      </c>
      <c r="I291" s="3" t="e">
        <f>VLOOKUP(A291,LookupLists!$I$3:$L$60,2,FALSE)</f>
        <v>#N/A</v>
      </c>
      <c r="J291" s="3" t="e">
        <f>VLOOKUP(A291,LookupLists!$I$3:$L$60,3,FALSE)</f>
        <v>#N/A</v>
      </c>
      <c r="K291" s="3" t="e">
        <f>VLOOKUP(A291,LookupLists!$I$3:$L$60,4,FALSE)</f>
        <v>#N/A</v>
      </c>
      <c r="L291" s="3" t="e">
        <f>VLOOKUP(C291,LookupLists!$A$3:$G$60,1,FALSE)</f>
        <v>#N/A</v>
      </c>
      <c r="M291" s="3" t="e">
        <f>VLOOKUP(C291,LookupLists!$A$3:$G$60,4,FALSE)</f>
        <v>#N/A</v>
      </c>
      <c r="N291" s="3" t="e">
        <f>VLOOKUP(C291,LookupLists!$A$3:$G$60,2,FALSE)</f>
        <v>#N/A</v>
      </c>
      <c r="O291" s="3" t="e">
        <f>VLOOKUP(C291,LookupLists!$A$3:$G$60,3,FALSE)</f>
        <v>#N/A</v>
      </c>
      <c r="P291" s="3" t="e">
        <f>VLOOKUP(C291,LookupLists!$A$3:$G$60,5,FALSE)</f>
        <v>#N/A</v>
      </c>
      <c r="Q291" s="3" t="e">
        <f>VLOOKUP(C291,LookupLists!$A$3:$G$60,6,FALSE)</f>
        <v>#N/A</v>
      </c>
      <c r="R291" s="4" t="e">
        <f>VLOOKUP(C291,LookupLists!$A$3:$G$60,7,FALSE)</f>
        <v>#N/A</v>
      </c>
      <c r="S291" s="3" t="e">
        <f>VLOOKUP(D291,LookupLists!$N$4:$T$60,1,FALSE)</f>
        <v>#N/A</v>
      </c>
      <c r="T291" s="3" t="e">
        <f>VLOOKUP(D291,LookupLists!$N$4:$T$60,2,FALSE)</f>
        <v>#N/A</v>
      </c>
      <c r="U291" s="3" t="e">
        <f>VLOOKUP(D291,LookupLists!$N$4:$T$60,3,FALSE)</f>
        <v>#N/A</v>
      </c>
      <c r="V291" s="3" t="e">
        <f>VLOOKUP(D291,LookupLists!$N$4:$T$60,5,FALSE)</f>
        <v>#N/A</v>
      </c>
    </row>
    <row r="292" spans="5:22" x14ac:dyDescent="0.3">
      <c r="E292" s="3" t="str">
        <f t="shared" si="4"/>
        <v/>
      </c>
      <c r="F292" s="3" t="str">
        <f xml:space="preserve"> IF(E292="","",  IFERROR(VLOOKUP(D292,LookupLists!$N$3:$T$60,6,FALSE)-LEN(E292),0))</f>
        <v/>
      </c>
      <c r="G292" s="3" t="str">
        <f>IF(E292="","",IFERROR(matches(E292,VLOOKUP(D292,LookupLists!$N$3:$T$60,7,FALSE)),FALSE))</f>
        <v/>
      </c>
      <c r="H292" s="3" t="e">
        <f>VLOOKUP(A292,LookupLists!$I$3:$L$60,1,FALSE)</f>
        <v>#N/A</v>
      </c>
      <c r="I292" s="3" t="e">
        <f>VLOOKUP(A292,LookupLists!$I$3:$L$60,2,FALSE)</f>
        <v>#N/A</v>
      </c>
      <c r="J292" s="3" t="e">
        <f>VLOOKUP(A292,LookupLists!$I$3:$L$60,3,FALSE)</f>
        <v>#N/A</v>
      </c>
      <c r="K292" s="3" t="e">
        <f>VLOOKUP(A292,LookupLists!$I$3:$L$60,4,FALSE)</f>
        <v>#N/A</v>
      </c>
      <c r="L292" s="3" t="e">
        <f>VLOOKUP(C292,LookupLists!$A$3:$G$60,1,FALSE)</f>
        <v>#N/A</v>
      </c>
      <c r="M292" s="3" t="e">
        <f>VLOOKUP(C292,LookupLists!$A$3:$G$60,4,FALSE)</f>
        <v>#N/A</v>
      </c>
      <c r="N292" s="3" t="e">
        <f>VLOOKUP(C292,LookupLists!$A$3:$G$60,2,FALSE)</f>
        <v>#N/A</v>
      </c>
      <c r="O292" s="3" t="e">
        <f>VLOOKUP(C292,LookupLists!$A$3:$G$60,3,FALSE)</f>
        <v>#N/A</v>
      </c>
      <c r="P292" s="3" t="e">
        <f>VLOOKUP(C292,LookupLists!$A$3:$G$60,5,FALSE)</f>
        <v>#N/A</v>
      </c>
      <c r="Q292" s="3" t="e">
        <f>VLOOKUP(C292,LookupLists!$A$3:$G$60,6,FALSE)</f>
        <v>#N/A</v>
      </c>
      <c r="R292" s="4" t="e">
        <f>VLOOKUP(C292,LookupLists!$A$3:$G$60,7,FALSE)</f>
        <v>#N/A</v>
      </c>
      <c r="S292" s="3" t="e">
        <f>VLOOKUP(D292,LookupLists!$N$4:$T$60,1,FALSE)</f>
        <v>#N/A</v>
      </c>
      <c r="T292" s="3" t="e">
        <f>VLOOKUP(D292,LookupLists!$N$4:$T$60,2,FALSE)</f>
        <v>#N/A</v>
      </c>
      <c r="U292" s="3" t="e">
        <f>VLOOKUP(D292,LookupLists!$N$4:$T$60,3,FALSE)</f>
        <v>#N/A</v>
      </c>
      <c r="V292" s="3" t="e">
        <f>VLOOKUP(D292,LookupLists!$N$4:$T$60,5,FALSE)</f>
        <v>#N/A</v>
      </c>
    </row>
    <row r="293" spans="5:22" x14ac:dyDescent="0.3">
      <c r="E293" s="3" t="str">
        <f t="shared" si="4"/>
        <v/>
      </c>
      <c r="F293" s="3" t="str">
        <f xml:space="preserve"> IF(E293="","",  IFERROR(VLOOKUP(D293,LookupLists!$N$3:$T$60,6,FALSE)-LEN(E293),0))</f>
        <v/>
      </c>
      <c r="G293" s="3" t="str">
        <f>IF(E293="","",IFERROR(matches(E293,VLOOKUP(D293,LookupLists!$N$3:$T$60,7,FALSE)),FALSE))</f>
        <v/>
      </c>
      <c r="H293" s="3" t="e">
        <f>VLOOKUP(A293,LookupLists!$I$3:$L$60,1,FALSE)</f>
        <v>#N/A</v>
      </c>
      <c r="I293" s="3" t="e">
        <f>VLOOKUP(A293,LookupLists!$I$3:$L$60,2,FALSE)</f>
        <v>#N/A</v>
      </c>
      <c r="J293" s="3" t="e">
        <f>VLOOKUP(A293,LookupLists!$I$3:$L$60,3,FALSE)</f>
        <v>#N/A</v>
      </c>
      <c r="K293" s="3" t="e">
        <f>VLOOKUP(A293,LookupLists!$I$3:$L$60,4,FALSE)</f>
        <v>#N/A</v>
      </c>
      <c r="L293" s="3" t="e">
        <f>VLOOKUP(C293,LookupLists!$A$3:$G$60,1,FALSE)</f>
        <v>#N/A</v>
      </c>
      <c r="M293" s="3" t="e">
        <f>VLOOKUP(C293,LookupLists!$A$3:$G$60,4,FALSE)</f>
        <v>#N/A</v>
      </c>
      <c r="N293" s="3" t="e">
        <f>VLOOKUP(C293,LookupLists!$A$3:$G$60,2,FALSE)</f>
        <v>#N/A</v>
      </c>
      <c r="O293" s="3" t="e">
        <f>VLOOKUP(C293,LookupLists!$A$3:$G$60,3,FALSE)</f>
        <v>#N/A</v>
      </c>
      <c r="P293" s="3" t="e">
        <f>VLOOKUP(C293,LookupLists!$A$3:$G$60,5,FALSE)</f>
        <v>#N/A</v>
      </c>
      <c r="Q293" s="3" t="e">
        <f>VLOOKUP(C293,LookupLists!$A$3:$G$60,6,FALSE)</f>
        <v>#N/A</v>
      </c>
      <c r="R293" s="4" t="e">
        <f>VLOOKUP(C293,LookupLists!$A$3:$G$60,7,FALSE)</f>
        <v>#N/A</v>
      </c>
      <c r="S293" s="3" t="e">
        <f>VLOOKUP(D293,LookupLists!$N$4:$T$60,1,FALSE)</f>
        <v>#N/A</v>
      </c>
      <c r="T293" s="3" t="e">
        <f>VLOOKUP(D293,LookupLists!$N$4:$T$60,2,FALSE)</f>
        <v>#N/A</v>
      </c>
      <c r="U293" s="3" t="e">
        <f>VLOOKUP(D293,LookupLists!$N$4:$T$60,3,FALSE)</f>
        <v>#N/A</v>
      </c>
      <c r="V293" s="3" t="e">
        <f>VLOOKUP(D293,LookupLists!$N$4:$T$60,5,FALSE)</f>
        <v>#N/A</v>
      </c>
    </row>
    <row r="294" spans="5:22" x14ac:dyDescent="0.3">
      <c r="E294" s="3" t="str">
        <f t="shared" si="4"/>
        <v/>
      </c>
      <c r="F294" s="3" t="str">
        <f xml:space="preserve"> IF(E294="","",  IFERROR(VLOOKUP(D294,LookupLists!$N$3:$T$60,6,FALSE)-LEN(E294),0))</f>
        <v/>
      </c>
      <c r="G294" s="3" t="str">
        <f>IF(E294="","",IFERROR(matches(E294,VLOOKUP(D294,LookupLists!$N$3:$T$60,7,FALSE)),FALSE))</f>
        <v/>
      </c>
      <c r="H294" s="3" t="e">
        <f>VLOOKUP(A294,LookupLists!$I$3:$L$60,1,FALSE)</f>
        <v>#N/A</v>
      </c>
      <c r="I294" s="3" t="e">
        <f>VLOOKUP(A294,LookupLists!$I$3:$L$60,2,FALSE)</f>
        <v>#N/A</v>
      </c>
      <c r="J294" s="3" t="e">
        <f>VLOOKUP(A294,LookupLists!$I$3:$L$60,3,FALSE)</f>
        <v>#N/A</v>
      </c>
      <c r="K294" s="3" t="e">
        <f>VLOOKUP(A294,LookupLists!$I$3:$L$60,4,FALSE)</f>
        <v>#N/A</v>
      </c>
      <c r="L294" s="3" t="e">
        <f>VLOOKUP(C294,LookupLists!$A$3:$G$60,1,FALSE)</f>
        <v>#N/A</v>
      </c>
      <c r="M294" s="3" t="e">
        <f>VLOOKUP(C294,LookupLists!$A$3:$G$60,4,FALSE)</f>
        <v>#N/A</v>
      </c>
      <c r="N294" s="3" t="e">
        <f>VLOOKUP(C294,LookupLists!$A$3:$G$60,2,FALSE)</f>
        <v>#N/A</v>
      </c>
      <c r="O294" s="3" t="e">
        <f>VLOOKUP(C294,LookupLists!$A$3:$G$60,3,FALSE)</f>
        <v>#N/A</v>
      </c>
      <c r="P294" s="3" t="e">
        <f>VLOOKUP(C294,LookupLists!$A$3:$G$60,5,FALSE)</f>
        <v>#N/A</v>
      </c>
      <c r="Q294" s="3" t="e">
        <f>VLOOKUP(C294,LookupLists!$A$3:$G$60,6,FALSE)</f>
        <v>#N/A</v>
      </c>
      <c r="R294" s="4" t="e">
        <f>VLOOKUP(C294,LookupLists!$A$3:$G$60,7,FALSE)</f>
        <v>#N/A</v>
      </c>
      <c r="S294" s="3" t="e">
        <f>VLOOKUP(D294,LookupLists!$N$4:$T$60,1,FALSE)</f>
        <v>#N/A</v>
      </c>
      <c r="T294" s="3" t="e">
        <f>VLOOKUP(D294,LookupLists!$N$4:$T$60,2,FALSE)</f>
        <v>#N/A</v>
      </c>
      <c r="U294" s="3" t="e">
        <f>VLOOKUP(D294,LookupLists!$N$4:$T$60,3,FALSE)</f>
        <v>#N/A</v>
      </c>
      <c r="V294" s="3" t="e">
        <f>VLOOKUP(D294,LookupLists!$N$4:$T$60,5,FALSE)</f>
        <v>#N/A</v>
      </c>
    </row>
    <row r="295" spans="5:22" x14ac:dyDescent="0.3">
      <c r="E295" s="3" t="str">
        <f t="shared" si="4"/>
        <v/>
      </c>
      <c r="F295" s="3" t="str">
        <f xml:space="preserve"> IF(E295="","",  IFERROR(VLOOKUP(D295,LookupLists!$N$3:$T$60,6,FALSE)-LEN(E295),0))</f>
        <v/>
      </c>
      <c r="G295" s="3" t="str">
        <f>IF(E295="","",IFERROR(matches(E295,VLOOKUP(D295,LookupLists!$N$3:$T$60,7,FALSE)),FALSE))</f>
        <v/>
      </c>
      <c r="H295" s="3" t="e">
        <f>VLOOKUP(A295,LookupLists!$I$3:$L$60,1,FALSE)</f>
        <v>#N/A</v>
      </c>
      <c r="I295" s="3" t="e">
        <f>VLOOKUP(A295,LookupLists!$I$3:$L$60,2,FALSE)</f>
        <v>#N/A</v>
      </c>
      <c r="J295" s="3" t="e">
        <f>VLOOKUP(A295,LookupLists!$I$3:$L$60,3,FALSE)</f>
        <v>#N/A</v>
      </c>
      <c r="K295" s="3" t="e">
        <f>VLOOKUP(A295,LookupLists!$I$3:$L$60,4,FALSE)</f>
        <v>#N/A</v>
      </c>
      <c r="L295" s="3" t="e">
        <f>VLOOKUP(C295,LookupLists!$A$3:$G$60,1,FALSE)</f>
        <v>#N/A</v>
      </c>
      <c r="M295" s="3" t="e">
        <f>VLOOKUP(C295,LookupLists!$A$3:$G$60,4,FALSE)</f>
        <v>#N/A</v>
      </c>
      <c r="N295" s="3" t="e">
        <f>VLOOKUP(C295,LookupLists!$A$3:$G$60,2,FALSE)</f>
        <v>#N/A</v>
      </c>
      <c r="O295" s="3" t="e">
        <f>VLOOKUP(C295,LookupLists!$A$3:$G$60,3,FALSE)</f>
        <v>#N/A</v>
      </c>
      <c r="P295" s="3" t="e">
        <f>VLOOKUP(C295,LookupLists!$A$3:$G$60,5,FALSE)</f>
        <v>#N/A</v>
      </c>
      <c r="Q295" s="3" t="e">
        <f>VLOOKUP(C295,LookupLists!$A$3:$G$60,6,FALSE)</f>
        <v>#N/A</v>
      </c>
      <c r="R295" s="4" t="e">
        <f>VLOOKUP(C295,LookupLists!$A$3:$G$60,7,FALSE)</f>
        <v>#N/A</v>
      </c>
      <c r="S295" s="3" t="e">
        <f>VLOOKUP(D295,LookupLists!$N$4:$T$60,1,FALSE)</f>
        <v>#N/A</v>
      </c>
      <c r="T295" s="3" t="e">
        <f>VLOOKUP(D295,LookupLists!$N$4:$T$60,2,FALSE)</f>
        <v>#N/A</v>
      </c>
      <c r="U295" s="3" t="e">
        <f>VLOOKUP(D295,LookupLists!$N$4:$T$60,3,FALSE)</f>
        <v>#N/A</v>
      </c>
      <c r="V295" s="3" t="e">
        <f>VLOOKUP(D295,LookupLists!$N$4:$T$60,5,FALSE)</f>
        <v>#N/A</v>
      </c>
    </row>
    <row r="296" spans="5:22" x14ac:dyDescent="0.3">
      <c r="E296" s="3" t="str">
        <f t="shared" si="4"/>
        <v/>
      </c>
      <c r="F296" s="3" t="str">
        <f xml:space="preserve"> IF(E296="","",  IFERROR(VLOOKUP(D296,LookupLists!$N$3:$T$60,6,FALSE)-LEN(E296),0))</f>
        <v/>
      </c>
      <c r="G296" s="3" t="str">
        <f>IF(E296="","",IFERROR(matches(E296,VLOOKUP(D296,LookupLists!$N$3:$T$60,7,FALSE)),FALSE))</f>
        <v/>
      </c>
      <c r="H296" s="3" t="e">
        <f>VLOOKUP(A296,LookupLists!$I$3:$L$60,1,FALSE)</f>
        <v>#N/A</v>
      </c>
      <c r="I296" s="3" t="e">
        <f>VLOOKUP(A296,LookupLists!$I$3:$L$60,2,FALSE)</f>
        <v>#N/A</v>
      </c>
      <c r="J296" s="3" t="e">
        <f>VLOOKUP(A296,LookupLists!$I$3:$L$60,3,FALSE)</f>
        <v>#N/A</v>
      </c>
      <c r="K296" s="3" t="e">
        <f>VLOOKUP(A296,LookupLists!$I$3:$L$60,4,FALSE)</f>
        <v>#N/A</v>
      </c>
      <c r="L296" s="3" t="e">
        <f>VLOOKUP(C296,LookupLists!$A$3:$G$60,1,FALSE)</f>
        <v>#N/A</v>
      </c>
      <c r="M296" s="3" t="e">
        <f>VLOOKUP(C296,LookupLists!$A$3:$G$60,4,FALSE)</f>
        <v>#N/A</v>
      </c>
      <c r="N296" s="3" t="e">
        <f>VLOOKUP(C296,LookupLists!$A$3:$G$60,2,FALSE)</f>
        <v>#N/A</v>
      </c>
      <c r="O296" s="3" t="e">
        <f>VLOOKUP(C296,LookupLists!$A$3:$G$60,3,FALSE)</f>
        <v>#N/A</v>
      </c>
      <c r="P296" s="3" t="e">
        <f>VLOOKUP(C296,LookupLists!$A$3:$G$60,5,FALSE)</f>
        <v>#N/A</v>
      </c>
      <c r="Q296" s="3" t="e">
        <f>VLOOKUP(C296,LookupLists!$A$3:$G$60,6,FALSE)</f>
        <v>#N/A</v>
      </c>
      <c r="R296" s="4" t="e">
        <f>VLOOKUP(C296,LookupLists!$A$3:$G$60,7,FALSE)</f>
        <v>#N/A</v>
      </c>
      <c r="S296" s="3" t="e">
        <f>VLOOKUP(D296,LookupLists!$N$4:$T$60,1,FALSE)</f>
        <v>#N/A</v>
      </c>
      <c r="T296" s="3" t="e">
        <f>VLOOKUP(D296,LookupLists!$N$4:$T$60,2,FALSE)</f>
        <v>#N/A</v>
      </c>
      <c r="U296" s="3" t="e">
        <f>VLOOKUP(D296,LookupLists!$N$4:$T$60,3,FALSE)</f>
        <v>#N/A</v>
      </c>
      <c r="V296" s="3" t="e">
        <f>VLOOKUP(D296,LookupLists!$N$4:$T$60,5,FALSE)</f>
        <v>#N/A</v>
      </c>
    </row>
    <row r="297" spans="5:22" x14ac:dyDescent="0.3">
      <c r="E297" s="3" t="str">
        <f t="shared" si="4"/>
        <v/>
      </c>
      <c r="F297" s="3" t="str">
        <f xml:space="preserve"> IF(E297="","",  IFERROR(VLOOKUP(D297,LookupLists!$N$3:$T$60,6,FALSE)-LEN(E297),0))</f>
        <v/>
      </c>
      <c r="G297" s="3" t="str">
        <f>IF(E297="","",IFERROR(matches(E297,VLOOKUP(D297,LookupLists!$N$3:$T$60,7,FALSE)),FALSE))</f>
        <v/>
      </c>
      <c r="H297" s="3" t="e">
        <f>VLOOKUP(A297,LookupLists!$I$3:$L$60,1,FALSE)</f>
        <v>#N/A</v>
      </c>
      <c r="I297" s="3" t="e">
        <f>VLOOKUP(A297,LookupLists!$I$3:$L$60,2,FALSE)</f>
        <v>#N/A</v>
      </c>
      <c r="J297" s="3" t="e">
        <f>VLOOKUP(A297,LookupLists!$I$3:$L$60,3,FALSE)</f>
        <v>#N/A</v>
      </c>
      <c r="K297" s="3" t="e">
        <f>VLOOKUP(A297,LookupLists!$I$3:$L$60,4,FALSE)</f>
        <v>#N/A</v>
      </c>
      <c r="L297" s="3" t="e">
        <f>VLOOKUP(C297,LookupLists!$A$3:$G$60,1,FALSE)</f>
        <v>#N/A</v>
      </c>
      <c r="M297" s="3" t="e">
        <f>VLOOKUP(C297,LookupLists!$A$3:$G$60,4,FALSE)</f>
        <v>#N/A</v>
      </c>
      <c r="N297" s="3" t="e">
        <f>VLOOKUP(C297,LookupLists!$A$3:$G$60,2,FALSE)</f>
        <v>#N/A</v>
      </c>
      <c r="O297" s="3" t="e">
        <f>VLOOKUP(C297,LookupLists!$A$3:$G$60,3,FALSE)</f>
        <v>#N/A</v>
      </c>
      <c r="P297" s="3" t="e">
        <f>VLOOKUP(C297,LookupLists!$A$3:$G$60,5,FALSE)</f>
        <v>#N/A</v>
      </c>
      <c r="Q297" s="3" t="e">
        <f>VLOOKUP(C297,LookupLists!$A$3:$G$60,6,FALSE)</f>
        <v>#N/A</v>
      </c>
      <c r="R297" s="4" t="e">
        <f>VLOOKUP(C297,LookupLists!$A$3:$G$60,7,FALSE)</f>
        <v>#N/A</v>
      </c>
      <c r="S297" s="3" t="e">
        <f>VLOOKUP(D297,LookupLists!$N$4:$T$60,1,FALSE)</f>
        <v>#N/A</v>
      </c>
      <c r="T297" s="3" t="e">
        <f>VLOOKUP(D297,LookupLists!$N$4:$T$60,2,FALSE)</f>
        <v>#N/A</v>
      </c>
      <c r="U297" s="3" t="e">
        <f>VLOOKUP(D297,LookupLists!$N$4:$T$60,3,FALSE)</f>
        <v>#N/A</v>
      </c>
      <c r="V297" s="3" t="e">
        <f>VLOOKUP(D297,LookupLists!$N$4:$T$60,5,FALSE)</f>
        <v>#N/A</v>
      </c>
    </row>
    <row r="298" spans="5:22" x14ac:dyDescent="0.3">
      <c r="E298" s="3" t="str">
        <f t="shared" si="4"/>
        <v/>
      </c>
      <c r="F298" s="3" t="str">
        <f xml:space="preserve"> IF(E298="","",  IFERROR(VLOOKUP(D298,LookupLists!$N$3:$T$60,6,FALSE)-LEN(E298),0))</f>
        <v/>
      </c>
      <c r="G298" s="3" t="str">
        <f>IF(E298="","",IFERROR(matches(E298,VLOOKUP(D298,LookupLists!$N$3:$T$60,7,FALSE)),FALSE))</f>
        <v/>
      </c>
      <c r="H298" s="3" t="e">
        <f>VLOOKUP(A298,LookupLists!$I$3:$L$60,1,FALSE)</f>
        <v>#N/A</v>
      </c>
      <c r="I298" s="3" t="e">
        <f>VLOOKUP(A298,LookupLists!$I$3:$L$60,2,FALSE)</f>
        <v>#N/A</v>
      </c>
      <c r="J298" s="3" t="e">
        <f>VLOOKUP(A298,LookupLists!$I$3:$L$60,3,FALSE)</f>
        <v>#N/A</v>
      </c>
      <c r="K298" s="3" t="e">
        <f>VLOOKUP(A298,LookupLists!$I$3:$L$60,4,FALSE)</f>
        <v>#N/A</v>
      </c>
      <c r="L298" s="3" t="e">
        <f>VLOOKUP(C298,LookupLists!$A$3:$G$60,1,FALSE)</f>
        <v>#N/A</v>
      </c>
      <c r="M298" s="3" t="e">
        <f>VLOOKUP(C298,LookupLists!$A$3:$G$60,4,FALSE)</f>
        <v>#N/A</v>
      </c>
      <c r="N298" s="3" t="e">
        <f>VLOOKUP(C298,LookupLists!$A$3:$G$60,2,FALSE)</f>
        <v>#N/A</v>
      </c>
      <c r="O298" s="3" t="e">
        <f>VLOOKUP(C298,LookupLists!$A$3:$G$60,3,FALSE)</f>
        <v>#N/A</v>
      </c>
      <c r="P298" s="3" t="e">
        <f>VLOOKUP(C298,LookupLists!$A$3:$G$60,5,FALSE)</f>
        <v>#N/A</v>
      </c>
      <c r="Q298" s="3" t="e">
        <f>VLOOKUP(C298,LookupLists!$A$3:$G$60,6,FALSE)</f>
        <v>#N/A</v>
      </c>
      <c r="R298" s="4" t="e">
        <f>VLOOKUP(C298,LookupLists!$A$3:$G$60,7,FALSE)</f>
        <v>#N/A</v>
      </c>
      <c r="S298" s="3" t="e">
        <f>VLOOKUP(D298,LookupLists!$N$4:$T$60,1,FALSE)</f>
        <v>#N/A</v>
      </c>
      <c r="T298" s="3" t="e">
        <f>VLOOKUP(D298,LookupLists!$N$4:$T$60,2,FALSE)</f>
        <v>#N/A</v>
      </c>
      <c r="U298" s="3" t="e">
        <f>VLOOKUP(D298,LookupLists!$N$4:$T$60,3,FALSE)</f>
        <v>#N/A</v>
      </c>
      <c r="V298" s="3" t="e">
        <f>VLOOKUP(D298,LookupLists!$N$4:$T$60,5,FALSE)</f>
        <v>#N/A</v>
      </c>
    </row>
    <row r="299" spans="5:22" x14ac:dyDescent="0.3">
      <c r="E299" s="3" t="str">
        <f t="shared" si="4"/>
        <v/>
      </c>
      <c r="F299" s="3" t="str">
        <f xml:space="preserve"> IF(E299="","",  IFERROR(VLOOKUP(D299,LookupLists!$N$3:$T$60,6,FALSE)-LEN(E299),0))</f>
        <v/>
      </c>
      <c r="G299" s="3" t="str">
        <f>IF(E299="","",IFERROR(matches(E299,VLOOKUP(D299,LookupLists!$N$3:$T$60,7,FALSE)),FALSE))</f>
        <v/>
      </c>
      <c r="H299" s="3" t="e">
        <f>VLOOKUP(A299,LookupLists!$I$3:$L$60,1,FALSE)</f>
        <v>#N/A</v>
      </c>
      <c r="I299" s="3" t="e">
        <f>VLOOKUP(A299,LookupLists!$I$3:$L$60,2,FALSE)</f>
        <v>#N/A</v>
      </c>
      <c r="J299" s="3" t="e">
        <f>VLOOKUP(A299,LookupLists!$I$3:$L$60,3,FALSE)</f>
        <v>#N/A</v>
      </c>
      <c r="K299" s="3" t="e">
        <f>VLOOKUP(A299,LookupLists!$I$3:$L$60,4,FALSE)</f>
        <v>#N/A</v>
      </c>
      <c r="L299" s="3" t="e">
        <f>VLOOKUP(C299,LookupLists!$A$3:$G$60,1,FALSE)</f>
        <v>#N/A</v>
      </c>
      <c r="M299" s="3" t="e">
        <f>VLOOKUP(C299,LookupLists!$A$3:$G$60,4,FALSE)</f>
        <v>#N/A</v>
      </c>
      <c r="N299" s="3" t="e">
        <f>VLOOKUP(C299,LookupLists!$A$3:$G$60,2,FALSE)</f>
        <v>#N/A</v>
      </c>
      <c r="O299" s="3" t="e">
        <f>VLOOKUP(C299,LookupLists!$A$3:$G$60,3,FALSE)</f>
        <v>#N/A</v>
      </c>
      <c r="P299" s="3" t="e">
        <f>VLOOKUP(C299,LookupLists!$A$3:$G$60,5,FALSE)</f>
        <v>#N/A</v>
      </c>
      <c r="Q299" s="3" t="e">
        <f>VLOOKUP(C299,LookupLists!$A$3:$G$60,6,FALSE)</f>
        <v>#N/A</v>
      </c>
      <c r="R299" s="4" t="e">
        <f>VLOOKUP(C299,LookupLists!$A$3:$G$60,7,FALSE)</f>
        <v>#N/A</v>
      </c>
      <c r="S299" s="3" t="e">
        <f>VLOOKUP(D299,LookupLists!$N$4:$T$60,1,FALSE)</f>
        <v>#N/A</v>
      </c>
      <c r="T299" s="3" t="e">
        <f>VLOOKUP(D299,LookupLists!$N$4:$T$60,2,FALSE)</f>
        <v>#N/A</v>
      </c>
      <c r="U299" s="3" t="e">
        <f>VLOOKUP(D299,LookupLists!$N$4:$T$60,3,FALSE)</f>
        <v>#N/A</v>
      </c>
      <c r="V299" s="3" t="e">
        <f>VLOOKUP(D299,LookupLists!$N$4:$T$60,5,FALSE)</f>
        <v>#N/A</v>
      </c>
    </row>
    <row r="300" spans="5:22" x14ac:dyDescent="0.3">
      <c r="E300" s="3" t="str">
        <f t="shared" si="4"/>
        <v/>
      </c>
      <c r="F300" s="3" t="str">
        <f xml:space="preserve"> IF(E300="","",  IFERROR(VLOOKUP(D300,LookupLists!$N$3:$T$60,6,FALSE)-LEN(E300),0))</f>
        <v/>
      </c>
      <c r="G300" s="3" t="str">
        <f>IF(E300="","",IFERROR(matches(E300,VLOOKUP(D300,LookupLists!$N$3:$T$60,7,FALSE)),FALSE))</f>
        <v/>
      </c>
      <c r="H300" s="3" t="e">
        <f>VLOOKUP(A300,LookupLists!$I$3:$L$60,1,FALSE)</f>
        <v>#N/A</v>
      </c>
      <c r="I300" s="3" t="e">
        <f>VLOOKUP(A300,LookupLists!$I$3:$L$60,2,FALSE)</f>
        <v>#N/A</v>
      </c>
      <c r="J300" s="3" t="e">
        <f>VLOOKUP(A300,LookupLists!$I$3:$L$60,3,FALSE)</f>
        <v>#N/A</v>
      </c>
      <c r="K300" s="3" t="e">
        <f>VLOOKUP(A300,LookupLists!$I$3:$L$60,4,FALSE)</f>
        <v>#N/A</v>
      </c>
      <c r="L300" s="3" t="e">
        <f>VLOOKUP(C300,LookupLists!$A$3:$G$60,1,FALSE)</f>
        <v>#N/A</v>
      </c>
      <c r="M300" s="3" t="e">
        <f>VLOOKUP(C300,LookupLists!$A$3:$G$60,4,FALSE)</f>
        <v>#N/A</v>
      </c>
      <c r="N300" s="3" t="e">
        <f>VLOOKUP(C300,LookupLists!$A$3:$G$60,2,FALSE)</f>
        <v>#N/A</v>
      </c>
      <c r="O300" s="3" t="e">
        <f>VLOOKUP(C300,LookupLists!$A$3:$G$60,3,FALSE)</f>
        <v>#N/A</v>
      </c>
      <c r="P300" s="3" t="e">
        <f>VLOOKUP(C300,LookupLists!$A$3:$G$60,5,FALSE)</f>
        <v>#N/A</v>
      </c>
      <c r="Q300" s="3" t="e">
        <f>VLOOKUP(C300,LookupLists!$A$3:$G$60,6,FALSE)</f>
        <v>#N/A</v>
      </c>
      <c r="R300" s="4" t="e">
        <f>VLOOKUP(C300,LookupLists!$A$3:$G$60,7,FALSE)</f>
        <v>#N/A</v>
      </c>
      <c r="S300" s="3" t="e">
        <f>VLOOKUP(D300,LookupLists!$N$4:$T$60,1,FALSE)</f>
        <v>#N/A</v>
      </c>
      <c r="T300" s="3" t="e">
        <f>VLOOKUP(D300,LookupLists!$N$4:$T$60,2,FALSE)</f>
        <v>#N/A</v>
      </c>
      <c r="U300" s="3" t="e">
        <f>VLOOKUP(D300,LookupLists!$N$4:$T$60,3,FALSE)</f>
        <v>#N/A</v>
      </c>
      <c r="V300" s="3" t="e">
        <f>VLOOKUP(D300,LookupLists!$N$4:$T$60,5,FALSE)</f>
        <v>#N/A</v>
      </c>
    </row>
    <row r="301" spans="5:22" x14ac:dyDescent="0.3">
      <c r="E301" s="3" t="str">
        <f t="shared" si="4"/>
        <v/>
      </c>
      <c r="F301" s="3" t="str">
        <f xml:space="preserve"> IF(E301="","",  IFERROR(VLOOKUP(D301,LookupLists!$N$3:$T$60,6,FALSE)-LEN(E301),0))</f>
        <v/>
      </c>
      <c r="G301" s="3" t="str">
        <f>IF(E301="","",IFERROR(matches(E301,VLOOKUP(D301,LookupLists!$N$3:$T$60,7,FALSE)),FALSE))</f>
        <v/>
      </c>
      <c r="H301" s="3" t="e">
        <f>VLOOKUP(A301,LookupLists!$I$3:$L$60,1,FALSE)</f>
        <v>#N/A</v>
      </c>
      <c r="I301" s="3" t="e">
        <f>VLOOKUP(A301,LookupLists!$I$3:$L$60,2,FALSE)</f>
        <v>#N/A</v>
      </c>
      <c r="J301" s="3" t="e">
        <f>VLOOKUP(A301,LookupLists!$I$3:$L$60,3,FALSE)</f>
        <v>#N/A</v>
      </c>
      <c r="K301" s="3" t="e">
        <f>VLOOKUP(A301,LookupLists!$I$3:$L$60,4,FALSE)</f>
        <v>#N/A</v>
      </c>
      <c r="L301" s="3" t="e">
        <f>VLOOKUP(C301,LookupLists!$A$3:$G$60,1,FALSE)</f>
        <v>#N/A</v>
      </c>
      <c r="M301" s="3" t="e">
        <f>VLOOKUP(C301,LookupLists!$A$3:$G$60,4,FALSE)</f>
        <v>#N/A</v>
      </c>
      <c r="N301" s="3" t="e">
        <f>VLOOKUP(C301,LookupLists!$A$3:$G$60,2,FALSE)</f>
        <v>#N/A</v>
      </c>
      <c r="O301" s="3" t="e">
        <f>VLOOKUP(C301,LookupLists!$A$3:$G$60,3,FALSE)</f>
        <v>#N/A</v>
      </c>
      <c r="P301" s="3" t="e">
        <f>VLOOKUP(C301,LookupLists!$A$3:$G$60,5,FALSE)</f>
        <v>#N/A</v>
      </c>
      <c r="Q301" s="3" t="e">
        <f>VLOOKUP(C301,LookupLists!$A$3:$G$60,6,FALSE)</f>
        <v>#N/A</v>
      </c>
      <c r="R301" s="4" t="e">
        <f>VLOOKUP(C301,LookupLists!$A$3:$G$60,7,FALSE)</f>
        <v>#N/A</v>
      </c>
      <c r="S301" s="3" t="e">
        <f>VLOOKUP(D301,LookupLists!$N$4:$T$60,1,FALSE)</f>
        <v>#N/A</v>
      </c>
      <c r="T301" s="3" t="e">
        <f>VLOOKUP(D301,LookupLists!$N$4:$T$60,2,FALSE)</f>
        <v>#N/A</v>
      </c>
      <c r="U301" s="3" t="e">
        <f>VLOOKUP(D301,LookupLists!$N$4:$T$60,3,FALSE)</f>
        <v>#N/A</v>
      </c>
      <c r="V301" s="3" t="e">
        <f>VLOOKUP(D301,LookupLists!$N$4:$T$60,5,FALSE)</f>
        <v>#N/A</v>
      </c>
    </row>
    <row r="302" spans="5:22" x14ac:dyDescent="0.3">
      <c r="E302" s="3" t="str">
        <f t="shared" si="4"/>
        <v/>
      </c>
      <c r="F302" s="3" t="str">
        <f xml:space="preserve"> IF(E302="","",  IFERROR(VLOOKUP(D302,LookupLists!$N$3:$T$60,6,FALSE)-LEN(E302),0))</f>
        <v/>
      </c>
      <c r="G302" s="3" t="str">
        <f>IF(E302="","",IFERROR(matches(E302,VLOOKUP(D302,LookupLists!$N$3:$T$60,7,FALSE)),FALSE))</f>
        <v/>
      </c>
      <c r="H302" s="3" t="e">
        <f>VLOOKUP(A302,LookupLists!$I$3:$L$60,1,FALSE)</f>
        <v>#N/A</v>
      </c>
      <c r="I302" s="3" t="e">
        <f>VLOOKUP(A302,LookupLists!$I$3:$L$60,2,FALSE)</f>
        <v>#N/A</v>
      </c>
      <c r="J302" s="3" t="e">
        <f>VLOOKUP(A302,LookupLists!$I$3:$L$60,3,FALSE)</f>
        <v>#N/A</v>
      </c>
      <c r="K302" s="3" t="e">
        <f>VLOOKUP(A302,LookupLists!$I$3:$L$60,4,FALSE)</f>
        <v>#N/A</v>
      </c>
      <c r="L302" s="3" t="e">
        <f>VLOOKUP(C302,LookupLists!$A$3:$G$60,1,FALSE)</f>
        <v>#N/A</v>
      </c>
      <c r="M302" s="3" t="e">
        <f>VLOOKUP(C302,LookupLists!$A$3:$G$60,4,FALSE)</f>
        <v>#N/A</v>
      </c>
      <c r="N302" s="3" t="e">
        <f>VLOOKUP(C302,LookupLists!$A$3:$G$60,2,FALSE)</f>
        <v>#N/A</v>
      </c>
      <c r="O302" s="3" t="e">
        <f>VLOOKUP(C302,LookupLists!$A$3:$G$60,3,FALSE)</f>
        <v>#N/A</v>
      </c>
      <c r="P302" s="3" t="e">
        <f>VLOOKUP(C302,LookupLists!$A$3:$G$60,5,FALSE)</f>
        <v>#N/A</v>
      </c>
      <c r="Q302" s="3" t="e">
        <f>VLOOKUP(C302,LookupLists!$A$3:$G$60,6,FALSE)</f>
        <v>#N/A</v>
      </c>
      <c r="R302" s="4" t="e">
        <f>VLOOKUP(C302,LookupLists!$A$3:$G$60,7,FALSE)</f>
        <v>#N/A</v>
      </c>
      <c r="S302" s="3" t="e">
        <f>VLOOKUP(D302,LookupLists!$N$4:$T$60,1,FALSE)</f>
        <v>#N/A</v>
      </c>
      <c r="T302" s="3" t="e">
        <f>VLOOKUP(D302,LookupLists!$N$4:$T$60,2,FALSE)</f>
        <v>#N/A</v>
      </c>
      <c r="U302" s="3" t="e">
        <f>VLOOKUP(D302,LookupLists!$N$4:$T$60,3,FALSE)</f>
        <v>#N/A</v>
      </c>
      <c r="V302" s="3" t="e">
        <f>VLOOKUP(D302,LookupLists!$N$4:$T$60,5,FALSE)</f>
        <v>#N/A</v>
      </c>
    </row>
    <row r="303" spans="5:22" x14ac:dyDescent="0.3">
      <c r="E303" s="3" t="str">
        <f t="shared" si="4"/>
        <v/>
      </c>
      <c r="F303" s="3" t="str">
        <f xml:space="preserve"> IF(E303="","",  IFERROR(VLOOKUP(D303,LookupLists!$N$3:$T$60,6,FALSE)-LEN(E303),0))</f>
        <v/>
      </c>
      <c r="G303" s="3" t="str">
        <f>IF(E303="","",IFERROR(matches(E303,VLOOKUP(D303,LookupLists!$N$3:$T$60,7,FALSE)),FALSE))</f>
        <v/>
      </c>
      <c r="H303" s="3" t="e">
        <f>VLOOKUP(A303,LookupLists!$I$3:$L$60,1,FALSE)</f>
        <v>#N/A</v>
      </c>
      <c r="I303" s="3" t="e">
        <f>VLOOKUP(A303,LookupLists!$I$3:$L$60,2,FALSE)</f>
        <v>#N/A</v>
      </c>
      <c r="J303" s="3" t="e">
        <f>VLOOKUP(A303,LookupLists!$I$3:$L$60,3,FALSE)</f>
        <v>#N/A</v>
      </c>
      <c r="K303" s="3" t="e">
        <f>VLOOKUP(A303,LookupLists!$I$3:$L$60,4,FALSE)</f>
        <v>#N/A</v>
      </c>
      <c r="L303" s="3" t="e">
        <f>VLOOKUP(C303,LookupLists!$A$3:$G$60,1,FALSE)</f>
        <v>#N/A</v>
      </c>
      <c r="M303" s="3" t="e">
        <f>VLOOKUP(C303,LookupLists!$A$3:$G$60,4,FALSE)</f>
        <v>#N/A</v>
      </c>
      <c r="N303" s="3" t="e">
        <f>VLOOKUP(C303,LookupLists!$A$3:$G$60,2,FALSE)</f>
        <v>#N/A</v>
      </c>
      <c r="O303" s="3" t="e">
        <f>VLOOKUP(C303,LookupLists!$A$3:$G$60,3,FALSE)</f>
        <v>#N/A</v>
      </c>
      <c r="P303" s="3" t="e">
        <f>VLOOKUP(C303,LookupLists!$A$3:$G$60,5,FALSE)</f>
        <v>#N/A</v>
      </c>
      <c r="Q303" s="3" t="e">
        <f>VLOOKUP(C303,LookupLists!$A$3:$G$60,6,FALSE)</f>
        <v>#N/A</v>
      </c>
      <c r="R303" s="4" t="e">
        <f>VLOOKUP(C303,LookupLists!$A$3:$G$60,7,FALSE)</f>
        <v>#N/A</v>
      </c>
      <c r="S303" s="3" t="e">
        <f>VLOOKUP(D303,LookupLists!$N$4:$T$60,1,FALSE)</f>
        <v>#N/A</v>
      </c>
      <c r="T303" s="3" t="e">
        <f>VLOOKUP(D303,LookupLists!$N$4:$T$60,2,FALSE)</f>
        <v>#N/A</v>
      </c>
      <c r="U303" s="3" t="e">
        <f>VLOOKUP(D303,LookupLists!$N$4:$T$60,3,FALSE)</f>
        <v>#N/A</v>
      </c>
      <c r="V303" s="3" t="e">
        <f>VLOOKUP(D303,LookupLists!$N$4:$T$60,5,FALSE)</f>
        <v>#N/A</v>
      </c>
    </row>
    <row r="304" spans="5:22" x14ac:dyDescent="0.3">
      <c r="E304" s="3" t="str">
        <f t="shared" si="4"/>
        <v/>
      </c>
      <c r="F304" s="3" t="str">
        <f xml:space="preserve"> IF(E304="","",  IFERROR(VLOOKUP(D304,LookupLists!$N$3:$T$60,6,FALSE)-LEN(E304),0))</f>
        <v/>
      </c>
      <c r="G304" s="3" t="str">
        <f>IF(E304="","",IFERROR(matches(E304,VLOOKUP(D304,LookupLists!$N$3:$T$60,7,FALSE)),FALSE))</f>
        <v/>
      </c>
      <c r="H304" s="3" t="e">
        <f>VLOOKUP(A304,LookupLists!$I$3:$L$60,1,FALSE)</f>
        <v>#N/A</v>
      </c>
      <c r="I304" s="3" t="e">
        <f>VLOOKUP(A304,LookupLists!$I$3:$L$60,2,FALSE)</f>
        <v>#N/A</v>
      </c>
      <c r="J304" s="3" t="e">
        <f>VLOOKUP(A304,LookupLists!$I$3:$L$60,3,FALSE)</f>
        <v>#N/A</v>
      </c>
      <c r="K304" s="3" t="e">
        <f>VLOOKUP(A304,LookupLists!$I$3:$L$60,4,FALSE)</f>
        <v>#N/A</v>
      </c>
      <c r="L304" s="3" t="e">
        <f>VLOOKUP(C304,LookupLists!$A$3:$G$60,1,FALSE)</f>
        <v>#N/A</v>
      </c>
      <c r="M304" s="3" t="e">
        <f>VLOOKUP(C304,LookupLists!$A$3:$G$60,4,FALSE)</f>
        <v>#N/A</v>
      </c>
      <c r="N304" s="3" t="e">
        <f>VLOOKUP(C304,LookupLists!$A$3:$G$60,2,FALSE)</f>
        <v>#N/A</v>
      </c>
      <c r="O304" s="3" t="e">
        <f>VLOOKUP(C304,LookupLists!$A$3:$G$60,3,FALSE)</f>
        <v>#N/A</v>
      </c>
      <c r="P304" s="3" t="e">
        <f>VLOOKUP(C304,LookupLists!$A$3:$G$60,5,FALSE)</f>
        <v>#N/A</v>
      </c>
      <c r="Q304" s="3" t="e">
        <f>VLOOKUP(C304,LookupLists!$A$3:$G$60,6,FALSE)</f>
        <v>#N/A</v>
      </c>
      <c r="R304" s="4" t="e">
        <f>VLOOKUP(C304,LookupLists!$A$3:$G$60,7,FALSE)</f>
        <v>#N/A</v>
      </c>
      <c r="S304" s="3" t="e">
        <f>VLOOKUP(D304,LookupLists!$N$4:$T$60,1,FALSE)</f>
        <v>#N/A</v>
      </c>
      <c r="T304" s="3" t="e">
        <f>VLOOKUP(D304,LookupLists!$N$4:$T$60,2,FALSE)</f>
        <v>#N/A</v>
      </c>
      <c r="U304" s="3" t="e">
        <f>VLOOKUP(D304,LookupLists!$N$4:$T$60,3,FALSE)</f>
        <v>#N/A</v>
      </c>
      <c r="V304" s="3" t="e">
        <f>VLOOKUP(D304,LookupLists!$N$4:$T$60,5,FALSE)</f>
        <v>#N/A</v>
      </c>
    </row>
    <row r="305" spans="5:22" x14ac:dyDescent="0.3">
      <c r="E305" s="3" t="str">
        <f t="shared" si="4"/>
        <v/>
      </c>
      <c r="F305" s="3" t="str">
        <f xml:space="preserve"> IF(E305="","",  IFERROR(VLOOKUP(D305,LookupLists!$N$3:$T$60,6,FALSE)-LEN(E305),0))</f>
        <v/>
      </c>
      <c r="G305" s="3" t="str">
        <f>IF(E305="","",IFERROR(matches(E305,VLOOKUP(D305,LookupLists!$N$3:$T$60,7,FALSE)),FALSE))</f>
        <v/>
      </c>
      <c r="H305" s="3" t="e">
        <f>VLOOKUP(A305,LookupLists!$I$3:$L$60,1,FALSE)</f>
        <v>#N/A</v>
      </c>
      <c r="I305" s="3" t="e">
        <f>VLOOKUP(A305,LookupLists!$I$3:$L$60,2,FALSE)</f>
        <v>#N/A</v>
      </c>
      <c r="J305" s="3" t="e">
        <f>VLOOKUP(A305,LookupLists!$I$3:$L$60,3,FALSE)</f>
        <v>#N/A</v>
      </c>
      <c r="K305" s="3" t="e">
        <f>VLOOKUP(A305,LookupLists!$I$3:$L$60,4,FALSE)</f>
        <v>#N/A</v>
      </c>
      <c r="L305" s="3" t="e">
        <f>VLOOKUP(C305,LookupLists!$A$3:$G$60,1,FALSE)</f>
        <v>#N/A</v>
      </c>
      <c r="M305" s="3" t="e">
        <f>VLOOKUP(C305,LookupLists!$A$3:$G$60,4,FALSE)</f>
        <v>#N/A</v>
      </c>
      <c r="N305" s="3" t="e">
        <f>VLOOKUP(C305,LookupLists!$A$3:$G$60,2,FALSE)</f>
        <v>#N/A</v>
      </c>
      <c r="O305" s="3" t="e">
        <f>VLOOKUP(C305,LookupLists!$A$3:$G$60,3,FALSE)</f>
        <v>#N/A</v>
      </c>
      <c r="P305" s="3" t="e">
        <f>VLOOKUP(C305,LookupLists!$A$3:$G$60,5,FALSE)</f>
        <v>#N/A</v>
      </c>
      <c r="Q305" s="3" t="e">
        <f>VLOOKUP(C305,LookupLists!$A$3:$G$60,6,FALSE)</f>
        <v>#N/A</v>
      </c>
      <c r="R305" s="4" t="e">
        <f>VLOOKUP(C305,LookupLists!$A$3:$G$60,7,FALSE)</f>
        <v>#N/A</v>
      </c>
      <c r="S305" s="3" t="e">
        <f>VLOOKUP(D305,LookupLists!$N$4:$T$60,1,FALSE)</f>
        <v>#N/A</v>
      </c>
      <c r="T305" s="3" t="e">
        <f>VLOOKUP(D305,LookupLists!$N$4:$T$60,2,FALSE)</f>
        <v>#N/A</v>
      </c>
      <c r="U305" s="3" t="e">
        <f>VLOOKUP(D305,LookupLists!$N$4:$T$60,3,FALSE)</f>
        <v>#N/A</v>
      </c>
      <c r="V305" s="3" t="e">
        <f>VLOOKUP(D305,LookupLists!$N$4:$T$60,5,FALSE)</f>
        <v>#N/A</v>
      </c>
    </row>
    <row r="306" spans="5:22" x14ac:dyDescent="0.3">
      <c r="E306" s="3" t="str">
        <f t="shared" si="4"/>
        <v/>
      </c>
      <c r="F306" s="3" t="str">
        <f xml:space="preserve"> IF(E306="","",  IFERROR(VLOOKUP(D306,LookupLists!$N$3:$T$60,6,FALSE)-LEN(E306),0))</f>
        <v/>
      </c>
      <c r="G306" s="3" t="str">
        <f>IF(E306="","",IFERROR(matches(E306,VLOOKUP(D306,LookupLists!$N$3:$T$60,7,FALSE)),FALSE))</f>
        <v/>
      </c>
      <c r="H306" s="3" t="e">
        <f>VLOOKUP(A306,LookupLists!$I$3:$L$60,1,FALSE)</f>
        <v>#N/A</v>
      </c>
      <c r="I306" s="3" t="e">
        <f>VLOOKUP(A306,LookupLists!$I$3:$L$60,2,FALSE)</f>
        <v>#N/A</v>
      </c>
      <c r="J306" s="3" t="e">
        <f>VLOOKUP(A306,LookupLists!$I$3:$L$60,3,FALSE)</f>
        <v>#N/A</v>
      </c>
      <c r="K306" s="3" t="e">
        <f>VLOOKUP(A306,LookupLists!$I$3:$L$60,4,FALSE)</f>
        <v>#N/A</v>
      </c>
      <c r="L306" s="3" t="e">
        <f>VLOOKUP(C306,LookupLists!$A$3:$G$60,1,FALSE)</f>
        <v>#N/A</v>
      </c>
      <c r="M306" s="3" t="e">
        <f>VLOOKUP(C306,LookupLists!$A$3:$G$60,4,FALSE)</f>
        <v>#N/A</v>
      </c>
      <c r="N306" s="3" t="e">
        <f>VLOOKUP(C306,LookupLists!$A$3:$G$60,2,FALSE)</f>
        <v>#N/A</v>
      </c>
      <c r="O306" s="3" t="e">
        <f>VLOOKUP(C306,LookupLists!$A$3:$G$60,3,FALSE)</f>
        <v>#N/A</v>
      </c>
      <c r="P306" s="3" t="e">
        <f>VLOOKUP(C306,LookupLists!$A$3:$G$60,5,FALSE)</f>
        <v>#N/A</v>
      </c>
      <c r="Q306" s="3" t="e">
        <f>VLOOKUP(C306,LookupLists!$A$3:$G$60,6,FALSE)</f>
        <v>#N/A</v>
      </c>
      <c r="R306" s="4" t="e">
        <f>VLOOKUP(C306,LookupLists!$A$3:$G$60,7,FALSE)</f>
        <v>#N/A</v>
      </c>
      <c r="S306" s="3" t="e">
        <f>VLOOKUP(D306,LookupLists!$N$4:$T$60,1,FALSE)</f>
        <v>#N/A</v>
      </c>
      <c r="T306" s="3" t="e">
        <f>VLOOKUP(D306,LookupLists!$N$4:$T$60,2,FALSE)</f>
        <v>#N/A</v>
      </c>
      <c r="U306" s="3" t="e">
        <f>VLOOKUP(D306,LookupLists!$N$4:$T$60,3,FALSE)</f>
        <v>#N/A</v>
      </c>
      <c r="V306" s="3" t="e">
        <f>VLOOKUP(D306,LookupLists!$N$4:$T$60,5,FALSE)</f>
        <v>#N/A</v>
      </c>
    </row>
    <row r="307" spans="5:22" x14ac:dyDescent="0.3">
      <c r="E307" s="3" t="str">
        <f t="shared" si="4"/>
        <v/>
      </c>
      <c r="F307" s="3" t="str">
        <f xml:space="preserve"> IF(E307="","",  IFERROR(VLOOKUP(D307,LookupLists!$N$3:$T$60,6,FALSE)-LEN(E307),0))</f>
        <v/>
      </c>
      <c r="G307" s="3" t="str">
        <f>IF(E307="","",IFERROR(matches(E307,VLOOKUP(D307,LookupLists!$N$3:$T$60,7,FALSE)),FALSE))</f>
        <v/>
      </c>
      <c r="H307" s="3" t="e">
        <f>VLOOKUP(A307,LookupLists!$I$3:$L$60,1,FALSE)</f>
        <v>#N/A</v>
      </c>
      <c r="I307" s="3" t="e">
        <f>VLOOKUP(A307,LookupLists!$I$3:$L$60,2,FALSE)</f>
        <v>#N/A</v>
      </c>
      <c r="J307" s="3" t="e">
        <f>VLOOKUP(A307,LookupLists!$I$3:$L$60,3,FALSE)</f>
        <v>#N/A</v>
      </c>
      <c r="K307" s="3" t="e">
        <f>VLOOKUP(A307,LookupLists!$I$3:$L$60,4,FALSE)</f>
        <v>#N/A</v>
      </c>
      <c r="L307" s="3" t="e">
        <f>VLOOKUP(C307,LookupLists!$A$3:$G$60,1,FALSE)</f>
        <v>#N/A</v>
      </c>
      <c r="M307" s="3" t="e">
        <f>VLOOKUP(C307,LookupLists!$A$3:$G$60,4,FALSE)</f>
        <v>#N/A</v>
      </c>
      <c r="N307" s="3" t="e">
        <f>VLOOKUP(C307,LookupLists!$A$3:$G$60,2,FALSE)</f>
        <v>#N/A</v>
      </c>
      <c r="O307" s="3" t="e">
        <f>VLOOKUP(C307,LookupLists!$A$3:$G$60,3,FALSE)</f>
        <v>#N/A</v>
      </c>
      <c r="P307" s="3" t="e">
        <f>VLOOKUP(C307,LookupLists!$A$3:$G$60,5,FALSE)</f>
        <v>#N/A</v>
      </c>
      <c r="Q307" s="3" t="e">
        <f>VLOOKUP(C307,LookupLists!$A$3:$G$60,6,FALSE)</f>
        <v>#N/A</v>
      </c>
      <c r="R307" s="4" t="e">
        <f>VLOOKUP(C307,LookupLists!$A$3:$G$60,7,FALSE)</f>
        <v>#N/A</v>
      </c>
      <c r="S307" s="3" t="e">
        <f>VLOOKUP(D307,LookupLists!$N$4:$T$60,1,FALSE)</f>
        <v>#N/A</v>
      </c>
      <c r="T307" s="3" t="e">
        <f>VLOOKUP(D307,LookupLists!$N$4:$T$60,2,FALSE)</f>
        <v>#N/A</v>
      </c>
      <c r="U307" s="3" t="e">
        <f>VLOOKUP(D307,LookupLists!$N$4:$T$60,3,FALSE)</f>
        <v>#N/A</v>
      </c>
      <c r="V307" s="3" t="e">
        <f>VLOOKUP(D307,LookupLists!$N$4:$T$60,5,FALSE)</f>
        <v>#N/A</v>
      </c>
    </row>
    <row r="308" spans="5:22" x14ac:dyDescent="0.3">
      <c r="E308" s="3" t="str">
        <f t="shared" si="4"/>
        <v/>
      </c>
      <c r="F308" s="3" t="str">
        <f xml:space="preserve"> IF(E308="","",  IFERROR(VLOOKUP(D308,LookupLists!$N$3:$T$60,6,FALSE)-LEN(E308),0))</f>
        <v/>
      </c>
      <c r="G308" s="3" t="str">
        <f>IF(E308="","",IFERROR(matches(E308,VLOOKUP(D308,LookupLists!$N$3:$T$60,7,FALSE)),FALSE))</f>
        <v/>
      </c>
      <c r="H308" s="3" t="e">
        <f>VLOOKUP(A308,LookupLists!$I$3:$L$60,1,FALSE)</f>
        <v>#N/A</v>
      </c>
      <c r="I308" s="3" t="e">
        <f>VLOOKUP(A308,LookupLists!$I$3:$L$60,2,FALSE)</f>
        <v>#N/A</v>
      </c>
      <c r="J308" s="3" t="e">
        <f>VLOOKUP(A308,LookupLists!$I$3:$L$60,3,FALSE)</f>
        <v>#N/A</v>
      </c>
      <c r="K308" s="3" t="e">
        <f>VLOOKUP(A308,LookupLists!$I$3:$L$60,4,FALSE)</f>
        <v>#N/A</v>
      </c>
      <c r="L308" s="3" t="e">
        <f>VLOOKUP(C308,LookupLists!$A$3:$G$60,1,FALSE)</f>
        <v>#N/A</v>
      </c>
      <c r="M308" s="3" t="e">
        <f>VLOOKUP(C308,LookupLists!$A$3:$G$60,4,FALSE)</f>
        <v>#N/A</v>
      </c>
      <c r="N308" s="3" t="e">
        <f>VLOOKUP(C308,LookupLists!$A$3:$G$60,2,FALSE)</f>
        <v>#N/A</v>
      </c>
      <c r="O308" s="3" t="e">
        <f>VLOOKUP(C308,LookupLists!$A$3:$G$60,3,FALSE)</f>
        <v>#N/A</v>
      </c>
      <c r="P308" s="3" t="e">
        <f>VLOOKUP(C308,LookupLists!$A$3:$G$60,5,FALSE)</f>
        <v>#N/A</v>
      </c>
      <c r="Q308" s="3" t="e">
        <f>VLOOKUP(C308,LookupLists!$A$3:$G$60,6,FALSE)</f>
        <v>#N/A</v>
      </c>
      <c r="R308" s="4" t="e">
        <f>VLOOKUP(C308,LookupLists!$A$3:$G$60,7,FALSE)</f>
        <v>#N/A</v>
      </c>
      <c r="S308" s="3" t="e">
        <f>VLOOKUP(D308,LookupLists!$N$4:$T$60,1,FALSE)</f>
        <v>#N/A</v>
      </c>
      <c r="T308" s="3" t="e">
        <f>VLOOKUP(D308,LookupLists!$N$4:$T$60,2,FALSE)</f>
        <v>#N/A</v>
      </c>
      <c r="U308" s="3" t="e">
        <f>VLOOKUP(D308,LookupLists!$N$4:$T$60,3,FALSE)</f>
        <v>#N/A</v>
      </c>
      <c r="V308" s="3" t="e">
        <f>VLOOKUP(D308,LookupLists!$N$4:$T$60,5,FALSE)</f>
        <v>#N/A</v>
      </c>
    </row>
    <row r="309" spans="5:22" x14ac:dyDescent="0.3">
      <c r="E309" s="3" t="str">
        <f t="shared" si="4"/>
        <v/>
      </c>
      <c r="F309" s="3" t="str">
        <f xml:space="preserve"> IF(E309="","",  IFERROR(VLOOKUP(D309,LookupLists!$N$3:$T$60,6,FALSE)-LEN(E309),0))</f>
        <v/>
      </c>
      <c r="G309" s="3" t="str">
        <f>IF(E309="","",IFERROR(matches(E309,VLOOKUP(D309,LookupLists!$N$3:$T$60,7,FALSE)),FALSE))</f>
        <v/>
      </c>
      <c r="H309" s="3" t="e">
        <f>VLOOKUP(A309,LookupLists!$I$3:$L$60,1,FALSE)</f>
        <v>#N/A</v>
      </c>
      <c r="I309" s="3" t="e">
        <f>VLOOKUP(A309,LookupLists!$I$3:$L$60,2,FALSE)</f>
        <v>#N/A</v>
      </c>
      <c r="J309" s="3" t="e">
        <f>VLOOKUP(A309,LookupLists!$I$3:$L$60,3,FALSE)</f>
        <v>#N/A</v>
      </c>
      <c r="K309" s="3" t="e">
        <f>VLOOKUP(A309,LookupLists!$I$3:$L$60,4,FALSE)</f>
        <v>#N/A</v>
      </c>
      <c r="L309" s="3" t="e">
        <f>VLOOKUP(C309,LookupLists!$A$3:$G$60,1,FALSE)</f>
        <v>#N/A</v>
      </c>
      <c r="M309" s="3" t="e">
        <f>VLOOKUP(C309,LookupLists!$A$3:$G$60,4,FALSE)</f>
        <v>#N/A</v>
      </c>
      <c r="N309" s="3" t="e">
        <f>VLOOKUP(C309,LookupLists!$A$3:$G$60,2,FALSE)</f>
        <v>#N/A</v>
      </c>
      <c r="O309" s="3" t="e">
        <f>VLOOKUP(C309,LookupLists!$A$3:$G$60,3,FALSE)</f>
        <v>#N/A</v>
      </c>
      <c r="P309" s="3" t="e">
        <f>VLOOKUP(C309,LookupLists!$A$3:$G$60,5,FALSE)</f>
        <v>#N/A</v>
      </c>
      <c r="Q309" s="3" t="e">
        <f>VLOOKUP(C309,LookupLists!$A$3:$G$60,6,FALSE)</f>
        <v>#N/A</v>
      </c>
      <c r="R309" s="4" t="e">
        <f>VLOOKUP(C309,LookupLists!$A$3:$G$60,7,FALSE)</f>
        <v>#N/A</v>
      </c>
      <c r="S309" s="3" t="e">
        <f>VLOOKUP(D309,LookupLists!$N$4:$T$60,1,FALSE)</f>
        <v>#N/A</v>
      </c>
      <c r="T309" s="3" t="e">
        <f>VLOOKUP(D309,LookupLists!$N$4:$T$60,2,FALSE)</f>
        <v>#N/A</v>
      </c>
      <c r="U309" s="3" t="e">
        <f>VLOOKUP(D309,LookupLists!$N$4:$T$60,3,FALSE)</f>
        <v>#N/A</v>
      </c>
      <c r="V309" s="3" t="e">
        <f>VLOOKUP(D309,LookupLists!$N$4:$T$60,5,FALSE)</f>
        <v>#N/A</v>
      </c>
    </row>
    <row r="310" spans="5:22" x14ac:dyDescent="0.3">
      <c r="E310" s="3" t="str">
        <f t="shared" si="4"/>
        <v/>
      </c>
      <c r="F310" s="3" t="str">
        <f xml:space="preserve"> IF(E310="","",  IFERROR(VLOOKUP(D310,LookupLists!$N$3:$T$60,6,FALSE)-LEN(E310),0))</f>
        <v/>
      </c>
      <c r="G310" s="3" t="str">
        <f>IF(E310="","",IFERROR(matches(E310,VLOOKUP(D310,LookupLists!$N$3:$T$60,7,FALSE)),FALSE))</f>
        <v/>
      </c>
      <c r="H310" s="3" t="e">
        <f>VLOOKUP(A310,LookupLists!$I$3:$L$60,1,FALSE)</f>
        <v>#N/A</v>
      </c>
      <c r="I310" s="3" t="e">
        <f>VLOOKUP(A310,LookupLists!$I$3:$L$60,2,FALSE)</f>
        <v>#N/A</v>
      </c>
      <c r="J310" s="3" t="e">
        <f>VLOOKUP(A310,LookupLists!$I$3:$L$60,3,FALSE)</f>
        <v>#N/A</v>
      </c>
      <c r="K310" s="3" t="e">
        <f>VLOOKUP(A310,LookupLists!$I$3:$L$60,4,FALSE)</f>
        <v>#N/A</v>
      </c>
      <c r="L310" s="3" t="e">
        <f>VLOOKUP(C310,LookupLists!$A$3:$G$60,1,FALSE)</f>
        <v>#N/A</v>
      </c>
      <c r="M310" s="3" t="e">
        <f>VLOOKUP(C310,LookupLists!$A$3:$G$60,4,FALSE)</f>
        <v>#N/A</v>
      </c>
      <c r="N310" s="3" t="e">
        <f>VLOOKUP(C310,LookupLists!$A$3:$G$60,2,FALSE)</f>
        <v>#N/A</v>
      </c>
      <c r="O310" s="3" t="e">
        <f>VLOOKUP(C310,LookupLists!$A$3:$G$60,3,FALSE)</f>
        <v>#N/A</v>
      </c>
      <c r="P310" s="3" t="e">
        <f>VLOOKUP(C310,LookupLists!$A$3:$G$60,5,FALSE)</f>
        <v>#N/A</v>
      </c>
      <c r="Q310" s="3" t="e">
        <f>VLOOKUP(C310,LookupLists!$A$3:$G$60,6,FALSE)</f>
        <v>#N/A</v>
      </c>
      <c r="R310" s="4" t="e">
        <f>VLOOKUP(C310,LookupLists!$A$3:$G$60,7,FALSE)</f>
        <v>#N/A</v>
      </c>
      <c r="S310" s="3" t="e">
        <f>VLOOKUP(D310,LookupLists!$N$4:$T$60,1,FALSE)</f>
        <v>#N/A</v>
      </c>
      <c r="T310" s="3" t="e">
        <f>VLOOKUP(D310,LookupLists!$N$4:$T$60,2,FALSE)</f>
        <v>#N/A</v>
      </c>
      <c r="U310" s="3" t="e">
        <f>VLOOKUP(D310,LookupLists!$N$4:$T$60,3,FALSE)</f>
        <v>#N/A</v>
      </c>
      <c r="V310" s="3" t="e">
        <f>VLOOKUP(D310,LookupLists!$N$4:$T$60,5,FALSE)</f>
        <v>#N/A</v>
      </c>
    </row>
    <row r="311" spans="5:22" x14ac:dyDescent="0.3">
      <c r="E311" s="3" t="str">
        <f t="shared" si="4"/>
        <v/>
      </c>
      <c r="F311" s="3" t="str">
        <f xml:space="preserve"> IF(E311="","",  IFERROR(VLOOKUP(D311,LookupLists!$N$3:$T$60,6,FALSE)-LEN(E311),0))</f>
        <v/>
      </c>
      <c r="G311" s="3" t="str">
        <f>IF(E311="","",IFERROR(matches(E311,VLOOKUP(D311,LookupLists!$N$3:$T$60,7,FALSE)),FALSE))</f>
        <v/>
      </c>
      <c r="H311" s="3" t="e">
        <f>VLOOKUP(A311,LookupLists!$I$3:$L$60,1,FALSE)</f>
        <v>#N/A</v>
      </c>
      <c r="I311" s="3" t="e">
        <f>VLOOKUP(A311,LookupLists!$I$3:$L$60,2,FALSE)</f>
        <v>#N/A</v>
      </c>
      <c r="J311" s="3" t="e">
        <f>VLOOKUP(A311,LookupLists!$I$3:$L$60,3,FALSE)</f>
        <v>#N/A</v>
      </c>
      <c r="K311" s="3" t="e">
        <f>VLOOKUP(A311,LookupLists!$I$3:$L$60,4,FALSE)</f>
        <v>#N/A</v>
      </c>
      <c r="L311" s="3" t="e">
        <f>VLOOKUP(C311,LookupLists!$A$3:$G$60,1,FALSE)</f>
        <v>#N/A</v>
      </c>
      <c r="M311" s="3" t="e">
        <f>VLOOKUP(C311,LookupLists!$A$3:$G$60,4,FALSE)</f>
        <v>#N/A</v>
      </c>
      <c r="N311" s="3" t="e">
        <f>VLOOKUP(C311,LookupLists!$A$3:$G$60,2,FALSE)</f>
        <v>#N/A</v>
      </c>
      <c r="O311" s="3" t="e">
        <f>VLOOKUP(C311,LookupLists!$A$3:$G$60,3,FALSE)</f>
        <v>#N/A</v>
      </c>
      <c r="P311" s="3" t="e">
        <f>VLOOKUP(C311,LookupLists!$A$3:$G$60,5,FALSE)</f>
        <v>#N/A</v>
      </c>
      <c r="Q311" s="3" t="e">
        <f>VLOOKUP(C311,LookupLists!$A$3:$G$60,6,FALSE)</f>
        <v>#N/A</v>
      </c>
      <c r="R311" s="4" t="e">
        <f>VLOOKUP(C311,LookupLists!$A$3:$G$60,7,FALSE)</f>
        <v>#N/A</v>
      </c>
      <c r="S311" s="3" t="e">
        <f>VLOOKUP(D311,LookupLists!$N$4:$T$60,1,FALSE)</f>
        <v>#N/A</v>
      </c>
      <c r="T311" s="3" t="e">
        <f>VLOOKUP(D311,LookupLists!$N$4:$T$60,2,FALSE)</f>
        <v>#N/A</v>
      </c>
      <c r="U311" s="3" t="e">
        <f>VLOOKUP(D311,LookupLists!$N$4:$T$60,3,FALSE)</f>
        <v>#N/A</v>
      </c>
      <c r="V311" s="3" t="e">
        <f>VLOOKUP(D311,LookupLists!$N$4:$T$60,5,FALSE)</f>
        <v>#N/A</v>
      </c>
    </row>
    <row r="312" spans="5:22" x14ac:dyDescent="0.3">
      <c r="E312" s="3" t="str">
        <f t="shared" si="4"/>
        <v/>
      </c>
      <c r="F312" s="3" t="str">
        <f xml:space="preserve"> IF(E312="","",  IFERROR(VLOOKUP(D312,LookupLists!$N$3:$T$60,6,FALSE)-LEN(E312),0))</f>
        <v/>
      </c>
      <c r="G312" s="3" t="str">
        <f>IF(E312="","",IFERROR(matches(E312,VLOOKUP(D312,LookupLists!$N$3:$T$60,7,FALSE)),FALSE))</f>
        <v/>
      </c>
      <c r="H312" s="3" t="e">
        <f>VLOOKUP(A312,LookupLists!$I$3:$L$60,1,FALSE)</f>
        <v>#N/A</v>
      </c>
      <c r="I312" s="3" t="e">
        <f>VLOOKUP(A312,LookupLists!$I$3:$L$60,2,FALSE)</f>
        <v>#N/A</v>
      </c>
      <c r="J312" s="3" t="e">
        <f>VLOOKUP(A312,LookupLists!$I$3:$L$60,3,FALSE)</f>
        <v>#N/A</v>
      </c>
      <c r="K312" s="3" t="e">
        <f>VLOOKUP(A312,LookupLists!$I$3:$L$60,4,FALSE)</f>
        <v>#N/A</v>
      </c>
      <c r="L312" s="3" t="e">
        <f>VLOOKUP(C312,LookupLists!$A$3:$G$60,1,FALSE)</f>
        <v>#N/A</v>
      </c>
      <c r="M312" s="3" t="e">
        <f>VLOOKUP(C312,LookupLists!$A$3:$G$60,4,FALSE)</f>
        <v>#N/A</v>
      </c>
      <c r="N312" s="3" t="e">
        <f>VLOOKUP(C312,LookupLists!$A$3:$G$60,2,FALSE)</f>
        <v>#N/A</v>
      </c>
      <c r="O312" s="3" t="e">
        <f>VLOOKUP(C312,LookupLists!$A$3:$G$60,3,FALSE)</f>
        <v>#N/A</v>
      </c>
      <c r="P312" s="3" t="e">
        <f>VLOOKUP(C312,LookupLists!$A$3:$G$60,5,FALSE)</f>
        <v>#N/A</v>
      </c>
      <c r="Q312" s="3" t="e">
        <f>VLOOKUP(C312,LookupLists!$A$3:$G$60,6,FALSE)</f>
        <v>#N/A</v>
      </c>
      <c r="R312" s="4" t="e">
        <f>VLOOKUP(C312,LookupLists!$A$3:$G$60,7,FALSE)</f>
        <v>#N/A</v>
      </c>
      <c r="S312" s="3" t="e">
        <f>VLOOKUP(D312,LookupLists!$N$4:$T$60,1,FALSE)</f>
        <v>#N/A</v>
      </c>
      <c r="T312" s="3" t="e">
        <f>VLOOKUP(D312,LookupLists!$N$4:$T$60,2,FALSE)</f>
        <v>#N/A</v>
      </c>
      <c r="U312" s="3" t="e">
        <f>VLOOKUP(D312,LookupLists!$N$4:$T$60,3,FALSE)</f>
        <v>#N/A</v>
      </c>
      <c r="V312" s="3" t="e">
        <f>VLOOKUP(D312,LookupLists!$N$4:$T$60,5,FALSE)</f>
        <v>#N/A</v>
      </c>
    </row>
    <row r="313" spans="5:22" x14ac:dyDescent="0.3">
      <c r="E313" s="3" t="str">
        <f t="shared" si="4"/>
        <v/>
      </c>
      <c r="F313" s="3" t="str">
        <f xml:space="preserve"> IF(E313="","",  IFERROR(VLOOKUP(D313,LookupLists!$N$3:$T$60,6,FALSE)-LEN(E313),0))</f>
        <v/>
      </c>
      <c r="G313" s="3" t="str">
        <f>IF(E313="","",IFERROR(matches(E313,VLOOKUP(D313,LookupLists!$N$3:$T$60,7,FALSE)),FALSE))</f>
        <v/>
      </c>
      <c r="H313" s="3" t="e">
        <f>VLOOKUP(A313,LookupLists!$I$3:$L$60,1,FALSE)</f>
        <v>#N/A</v>
      </c>
      <c r="I313" s="3" t="e">
        <f>VLOOKUP(A313,LookupLists!$I$3:$L$60,2,FALSE)</f>
        <v>#N/A</v>
      </c>
      <c r="J313" s="3" t="e">
        <f>VLOOKUP(A313,LookupLists!$I$3:$L$60,3,FALSE)</f>
        <v>#N/A</v>
      </c>
      <c r="K313" s="3" t="e">
        <f>VLOOKUP(A313,LookupLists!$I$3:$L$60,4,FALSE)</f>
        <v>#N/A</v>
      </c>
      <c r="L313" s="3" t="e">
        <f>VLOOKUP(C313,LookupLists!$A$3:$G$60,1,FALSE)</f>
        <v>#N/A</v>
      </c>
      <c r="M313" s="3" t="e">
        <f>VLOOKUP(C313,LookupLists!$A$3:$G$60,4,FALSE)</f>
        <v>#N/A</v>
      </c>
      <c r="N313" s="3" t="e">
        <f>VLOOKUP(C313,LookupLists!$A$3:$G$60,2,FALSE)</f>
        <v>#N/A</v>
      </c>
      <c r="O313" s="3" t="e">
        <f>VLOOKUP(C313,LookupLists!$A$3:$G$60,3,FALSE)</f>
        <v>#N/A</v>
      </c>
      <c r="P313" s="3" t="e">
        <f>VLOOKUP(C313,LookupLists!$A$3:$G$60,5,FALSE)</f>
        <v>#N/A</v>
      </c>
      <c r="Q313" s="3" t="e">
        <f>VLOOKUP(C313,LookupLists!$A$3:$G$60,6,FALSE)</f>
        <v>#N/A</v>
      </c>
      <c r="R313" s="4" t="e">
        <f>VLOOKUP(C313,LookupLists!$A$3:$G$60,7,FALSE)</f>
        <v>#N/A</v>
      </c>
      <c r="S313" s="3" t="e">
        <f>VLOOKUP(D313,LookupLists!$N$4:$T$60,1,FALSE)</f>
        <v>#N/A</v>
      </c>
      <c r="T313" s="3" t="e">
        <f>VLOOKUP(D313,LookupLists!$N$4:$T$60,2,FALSE)</f>
        <v>#N/A</v>
      </c>
      <c r="U313" s="3" t="e">
        <f>VLOOKUP(D313,LookupLists!$N$4:$T$60,3,FALSE)</f>
        <v>#N/A</v>
      </c>
      <c r="V313" s="3" t="e">
        <f>VLOOKUP(D313,LookupLists!$N$4:$T$60,5,FALSE)</f>
        <v>#N/A</v>
      </c>
    </row>
    <row r="314" spans="5:22" x14ac:dyDescent="0.3">
      <c r="E314" s="3" t="str">
        <f t="shared" si="4"/>
        <v/>
      </c>
      <c r="F314" s="3" t="str">
        <f xml:space="preserve"> IF(E314="","",  IFERROR(VLOOKUP(D314,LookupLists!$N$3:$T$60,6,FALSE)-LEN(E314),0))</f>
        <v/>
      </c>
      <c r="G314" s="3" t="str">
        <f>IF(E314="","",IFERROR(matches(E314,VLOOKUP(D314,LookupLists!$N$3:$T$60,7,FALSE)),FALSE))</f>
        <v/>
      </c>
      <c r="H314" s="3" t="e">
        <f>VLOOKUP(A314,LookupLists!$I$3:$L$60,1,FALSE)</f>
        <v>#N/A</v>
      </c>
      <c r="I314" s="3" t="e">
        <f>VLOOKUP(A314,LookupLists!$I$3:$L$60,2,FALSE)</f>
        <v>#N/A</v>
      </c>
      <c r="J314" s="3" t="e">
        <f>VLOOKUP(A314,LookupLists!$I$3:$L$60,3,FALSE)</f>
        <v>#N/A</v>
      </c>
      <c r="K314" s="3" t="e">
        <f>VLOOKUP(A314,LookupLists!$I$3:$L$60,4,FALSE)</f>
        <v>#N/A</v>
      </c>
      <c r="L314" s="3" t="e">
        <f>VLOOKUP(C314,LookupLists!$A$3:$G$60,1,FALSE)</f>
        <v>#N/A</v>
      </c>
      <c r="M314" s="3" t="e">
        <f>VLOOKUP(C314,LookupLists!$A$3:$G$60,4,FALSE)</f>
        <v>#N/A</v>
      </c>
      <c r="N314" s="3" t="e">
        <f>VLOOKUP(C314,LookupLists!$A$3:$G$60,2,FALSE)</f>
        <v>#N/A</v>
      </c>
      <c r="O314" s="3" t="e">
        <f>VLOOKUP(C314,LookupLists!$A$3:$G$60,3,FALSE)</f>
        <v>#N/A</v>
      </c>
      <c r="P314" s="3" t="e">
        <f>VLOOKUP(C314,LookupLists!$A$3:$G$60,5,FALSE)</f>
        <v>#N/A</v>
      </c>
      <c r="Q314" s="3" t="e">
        <f>VLOOKUP(C314,LookupLists!$A$3:$G$60,6,FALSE)</f>
        <v>#N/A</v>
      </c>
      <c r="R314" s="4" t="e">
        <f>VLOOKUP(C314,LookupLists!$A$3:$G$60,7,FALSE)</f>
        <v>#N/A</v>
      </c>
      <c r="S314" s="3" t="e">
        <f>VLOOKUP(D314,LookupLists!$N$4:$T$60,1,FALSE)</f>
        <v>#N/A</v>
      </c>
      <c r="T314" s="3" t="e">
        <f>VLOOKUP(D314,LookupLists!$N$4:$T$60,2,FALSE)</f>
        <v>#N/A</v>
      </c>
      <c r="U314" s="3" t="e">
        <f>VLOOKUP(D314,LookupLists!$N$4:$T$60,3,FALSE)</f>
        <v>#N/A</v>
      </c>
      <c r="V314" s="3" t="e">
        <f>VLOOKUP(D314,LookupLists!$N$4:$T$60,5,FALSE)</f>
        <v>#N/A</v>
      </c>
    </row>
    <row r="315" spans="5:22" x14ac:dyDescent="0.3">
      <c r="E315" s="3" t="str">
        <f t="shared" si="4"/>
        <v/>
      </c>
      <c r="F315" s="3" t="str">
        <f xml:space="preserve"> IF(E315="","",  IFERROR(VLOOKUP(D315,LookupLists!$N$3:$T$60,6,FALSE)-LEN(E315),0))</f>
        <v/>
      </c>
      <c r="G315" s="3" t="str">
        <f>IF(E315="","",IFERROR(matches(E315,VLOOKUP(D315,LookupLists!$N$3:$T$60,7,FALSE)),FALSE))</f>
        <v/>
      </c>
      <c r="H315" s="3" t="e">
        <f>VLOOKUP(A315,LookupLists!$I$3:$L$60,1,FALSE)</f>
        <v>#N/A</v>
      </c>
      <c r="I315" s="3" t="e">
        <f>VLOOKUP(A315,LookupLists!$I$3:$L$60,2,FALSE)</f>
        <v>#N/A</v>
      </c>
      <c r="J315" s="3" t="e">
        <f>VLOOKUP(A315,LookupLists!$I$3:$L$60,3,FALSE)</f>
        <v>#N/A</v>
      </c>
      <c r="K315" s="3" t="e">
        <f>VLOOKUP(A315,LookupLists!$I$3:$L$60,4,FALSE)</f>
        <v>#N/A</v>
      </c>
      <c r="L315" s="3" t="e">
        <f>VLOOKUP(C315,LookupLists!$A$3:$G$60,1,FALSE)</f>
        <v>#N/A</v>
      </c>
      <c r="M315" s="3" t="e">
        <f>VLOOKUP(C315,LookupLists!$A$3:$G$60,4,FALSE)</f>
        <v>#N/A</v>
      </c>
      <c r="N315" s="3" t="e">
        <f>VLOOKUP(C315,LookupLists!$A$3:$G$60,2,FALSE)</f>
        <v>#N/A</v>
      </c>
      <c r="O315" s="3" t="e">
        <f>VLOOKUP(C315,LookupLists!$A$3:$G$60,3,FALSE)</f>
        <v>#N/A</v>
      </c>
      <c r="P315" s="3" t="e">
        <f>VLOOKUP(C315,LookupLists!$A$3:$G$60,5,FALSE)</f>
        <v>#N/A</v>
      </c>
      <c r="Q315" s="3" t="e">
        <f>VLOOKUP(C315,LookupLists!$A$3:$G$60,6,FALSE)</f>
        <v>#N/A</v>
      </c>
      <c r="R315" s="4" t="e">
        <f>VLOOKUP(C315,LookupLists!$A$3:$G$60,7,FALSE)</f>
        <v>#N/A</v>
      </c>
      <c r="S315" s="3" t="e">
        <f>VLOOKUP(D315,LookupLists!$N$4:$T$60,1,FALSE)</f>
        <v>#N/A</v>
      </c>
      <c r="T315" s="3" t="e">
        <f>VLOOKUP(D315,LookupLists!$N$4:$T$60,2,FALSE)</f>
        <v>#N/A</v>
      </c>
      <c r="U315" s="3" t="e">
        <f>VLOOKUP(D315,LookupLists!$N$4:$T$60,3,FALSE)</f>
        <v>#N/A</v>
      </c>
      <c r="V315" s="3" t="e">
        <f>VLOOKUP(D315,LookupLists!$N$4:$T$60,5,FALSE)</f>
        <v>#N/A</v>
      </c>
    </row>
    <row r="316" spans="5:22" x14ac:dyDescent="0.3">
      <c r="E316" s="3" t="str">
        <f t="shared" si="4"/>
        <v/>
      </c>
      <c r="F316" s="3" t="str">
        <f xml:space="preserve"> IF(E316="","",  IFERROR(VLOOKUP(D316,LookupLists!$N$3:$T$60,6,FALSE)-LEN(E316),0))</f>
        <v/>
      </c>
      <c r="G316" s="3" t="str">
        <f>IF(E316="","",IFERROR(matches(E316,VLOOKUP(D316,LookupLists!$N$3:$T$60,7,FALSE)),FALSE))</f>
        <v/>
      </c>
      <c r="H316" s="3" t="e">
        <f>VLOOKUP(A316,LookupLists!$I$3:$L$60,1,FALSE)</f>
        <v>#N/A</v>
      </c>
      <c r="I316" s="3" t="e">
        <f>VLOOKUP(A316,LookupLists!$I$3:$L$60,2,FALSE)</f>
        <v>#N/A</v>
      </c>
      <c r="J316" s="3" t="e">
        <f>VLOOKUP(A316,LookupLists!$I$3:$L$60,3,FALSE)</f>
        <v>#N/A</v>
      </c>
      <c r="K316" s="3" t="e">
        <f>VLOOKUP(A316,LookupLists!$I$3:$L$60,4,FALSE)</f>
        <v>#N/A</v>
      </c>
      <c r="L316" s="3" t="e">
        <f>VLOOKUP(C316,LookupLists!$A$3:$G$60,1,FALSE)</f>
        <v>#N/A</v>
      </c>
      <c r="M316" s="3" t="e">
        <f>VLOOKUP(C316,LookupLists!$A$3:$G$60,4,FALSE)</f>
        <v>#N/A</v>
      </c>
      <c r="N316" s="3" t="e">
        <f>VLOOKUP(C316,LookupLists!$A$3:$G$60,2,FALSE)</f>
        <v>#N/A</v>
      </c>
      <c r="O316" s="3" t="e">
        <f>VLOOKUP(C316,LookupLists!$A$3:$G$60,3,FALSE)</f>
        <v>#N/A</v>
      </c>
      <c r="P316" s="3" t="e">
        <f>VLOOKUP(C316,LookupLists!$A$3:$G$60,5,FALSE)</f>
        <v>#N/A</v>
      </c>
      <c r="Q316" s="3" t="e">
        <f>VLOOKUP(C316,LookupLists!$A$3:$G$60,6,FALSE)</f>
        <v>#N/A</v>
      </c>
      <c r="R316" s="4" t="e">
        <f>VLOOKUP(C316,LookupLists!$A$3:$G$60,7,FALSE)</f>
        <v>#N/A</v>
      </c>
      <c r="S316" s="3" t="e">
        <f>VLOOKUP(D316,LookupLists!$N$4:$T$60,1,FALSE)</f>
        <v>#N/A</v>
      </c>
      <c r="T316" s="3" t="e">
        <f>VLOOKUP(D316,LookupLists!$N$4:$T$60,2,FALSE)</f>
        <v>#N/A</v>
      </c>
      <c r="U316" s="3" t="e">
        <f>VLOOKUP(D316,LookupLists!$N$4:$T$60,3,FALSE)</f>
        <v>#N/A</v>
      </c>
      <c r="V316" s="3" t="e">
        <f>VLOOKUP(D316,LookupLists!$N$4:$T$60,5,FALSE)</f>
        <v>#N/A</v>
      </c>
    </row>
    <row r="317" spans="5:22" x14ac:dyDescent="0.3">
      <c r="E317" s="3" t="str">
        <f t="shared" si="4"/>
        <v/>
      </c>
      <c r="F317" s="3" t="str">
        <f xml:space="preserve"> IF(E317="","",  IFERROR(VLOOKUP(D317,LookupLists!$N$3:$T$60,6,FALSE)-LEN(E317),0))</f>
        <v/>
      </c>
      <c r="G317" s="3" t="str">
        <f>IF(E317="","",IFERROR(matches(E317,VLOOKUP(D317,LookupLists!$N$3:$T$60,7,FALSE)),FALSE))</f>
        <v/>
      </c>
      <c r="H317" s="3" t="e">
        <f>VLOOKUP(A317,LookupLists!$I$3:$L$60,1,FALSE)</f>
        <v>#N/A</v>
      </c>
      <c r="I317" s="3" t="e">
        <f>VLOOKUP(A317,LookupLists!$I$3:$L$60,2,FALSE)</f>
        <v>#N/A</v>
      </c>
      <c r="J317" s="3" t="e">
        <f>VLOOKUP(A317,LookupLists!$I$3:$L$60,3,FALSE)</f>
        <v>#N/A</v>
      </c>
      <c r="K317" s="3" t="e">
        <f>VLOOKUP(A317,LookupLists!$I$3:$L$60,4,FALSE)</f>
        <v>#N/A</v>
      </c>
      <c r="L317" s="3" t="e">
        <f>VLOOKUP(C317,LookupLists!$A$3:$G$60,1,FALSE)</f>
        <v>#N/A</v>
      </c>
      <c r="M317" s="3" t="e">
        <f>VLOOKUP(C317,LookupLists!$A$3:$G$60,4,FALSE)</f>
        <v>#N/A</v>
      </c>
      <c r="N317" s="3" t="e">
        <f>VLOOKUP(C317,LookupLists!$A$3:$G$60,2,FALSE)</f>
        <v>#N/A</v>
      </c>
      <c r="O317" s="3" t="e">
        <f>VLOOKUP(C317,LookupLists!$A$3:$G$60,3,FALSE)</f>
        <v>#N/A</v>
      </c>
      <c r="P317" s="3" t="e">
        <f>VLOOKUP(C317,LookupLists!$A$3:$G$60,5,FALSE)</f>
        <v>#N/A</v>
      </c>
      <c r="Q317" s="3" t="e">
        <f>VLOOKUP(C317,LookupLists!$A$3:$G$60,6,FALSE)</f>
        <v>#N/A</v>
      </c>
      <c r="R317" s="4" t="e">
        <f>VLOOKUP(C317,LookupLists!$A$3:$G$60,7,FALSE)</f>
        <v>#N/A</v>
      </c>
      <c r="S317" s="3" t="e">
        <f>VLOOKUP(D317,LookupLists!$N$4:$T$60,1,FALSE)</f>
        <v>#N/A</v>
      </c>
      <c r="T317" s="3" t="e">
        <f>VLOOKUP(D317,LookupLists!$N$4:$T$60,2,FALSE)</f>
        <v>#N/A</v>
      </c>
      <c r="U317" s="3" t="e">
        <f>VLOOKUP(D317,LookupLists!$N$4:$T$60,3,FALSE)</f>
        <v>#N/A</v>
      </c>
      <c r="V317" s="3" t="e">
        <f>VLOOKUP(D317,LookupLists!$N$4:$T$60,5,FALSE)</f>
        <v>#N/A</v>
      </c>
    </row>
    <row r="318" spans="5:22" x14ac:dyDescent="0.3">
      <c r="E318" s="3" t="str">
        <f t="shared" si="4"/>
        <v/>
      </c>
      <c r="F318" s="3" t="str">
        <f xml:space="preserve"> IF(E318="","",  IFERROR(VLOOKUP(D318,LookupLists!$N$3:$T$60,6,FALSE)-LEN(E318),0))</f>
        <v/>
      </c>
      <c r="G318" s="3" t="str">
        <f>IF(E318="","",IFERROR(matches(E318,VLOOKUP(D318,LookupLists!$N$3:$T$60,7,FALSE)),FALSE))</f>
        <v/>
      </c>
      <c r="H318" s="3" t="e">
        <f>VLOOKUP(A318,LookupLists!$I$3:$L$60,1,FALSE)</f>
        <v>#N/A</v>
      </c>
      <c r="I318" s="3" t="e">
        <f>VLOOKUP(A318,LookupLists!$I$3:$L$60,2,FALSE)</f>
        <v>#N/A</v>
      </c>
      <c r="J318" s="3" t="e">
        <f>VLOOKUP(A318,LookupLists!$I$3:$L$60,3,FALSE)</f>
        <v>#N/A</v>
      </c>
      <c r="K318" s="3" t="e">
        <f>VLOOKUP(A318,LookupLists!$I$3:$L$60,4,FALSE)</f>
        <v>#N/A</v>
      </c>
      <c r="L318" s="3" t="e">
        <f>VLOOKUP(C318,LookupLists!$A$3:$G$60,1,FALSE)</f>
        <v>#N/A</v>
      </c>
      <c r="M318" s="3" t="e">
        <f>VLOOKUP(C318,LookupLists!$A$3:$G$60,4,FALSE)</f>
        <v>#N/A</v>
      </c>
      <c r="N318" s="3" t="e">
        <f>VLOOKUP(C318,LookupLists!$A$3:$G$60,2,FALSE)</f>
        <v>#N/A</v>
      </c>
      <c r="O318" s="3" t="e">
        <f>VLOOKUP(C318,LookupLists!$A$3:$G$60,3,FALSE)</f>
        <v>#N/A</v>
      </c>
      <c r="P318" s="3" t="e">
        <f>VLOOKUP(C318,LookupLists!$A$3:$G$60,5,FALSE)</f>
        <v>#N/A</v>
      </c>
      <c r="Q318" s="3" t="e">
        <f>VLOOKUP(C318,LookupLists!$A$3:$G$60,6,FALSE)</f>
        <v>#N/A</v>
      </c>
      <c r="R318" s="4" t="e">
        <f>VLOOKUP(C318,LookupLists!$A$3:$G$60,7,FALSE)</f>
        <v>#N/A</v>
      </c>
      <c r="S318" s="3" t="e">
        <f>VLOOKUP(D318,LookupLists!$N$4:$T$60,1,FALSE)</f>
        <v>#N/A</v>
      </c>
      <c r="T318" s="3" t="e">
        <f>VLOOKUP(D318,LookupLists!$N$4:$T$60,2,FALSE)</f>
        <v>#N/A</v>
      </c>
      <c r="U318" s="3" t="e">
        <f>VLOOKUP(D318,LookupLists!$N$4:$T$60,3,FALSE)</f>
        <v>#N/A</v>
      </c>
      <c r="V318" s="3" t="e">
        <f>VLOOKUP(D318,LookupLists!$N$4:$T$60,5,FALSE)</f>
        <v>#N/A</v>
      </c>
    </row>
    <row r="319" spans="5:22" x14ac:dyDescent="0.3">
      <c r="E319" s="3" t="str">
        <f t="shared" si="4"/>
        <v/>
      </c>
      <c r="F319" s="3" t="str">
        <f xml:space="preserve"> IF(E319="","",  IFERROR(VLOOKUP(D319,LookupLists!$N$3:$T$60,6,FALSE)-LEN(E319),0))</f>
        <v/>
      </c>
      <c r="G319" s="3" t="str">
        <f>IF(E319="","",IFERROR(matches(E319,VLOOKUP(D319,LookupLists!$N$3:$T$60,7,FALSE)),FALSE))</f>
        <v/>
      </c>
      <c r="H319" s="3" t="e">
        <f>VLOOKUP(A319,LookupLists!$I$3:$L$60,1,FALSE)</f>
        <v>#N/A</v>
      </c>
      <c r="I319" s="3" t="e">
        <f>VLOOKUP(A319,LookupLists!$I$3:$L$60,2,FALSE)</f>
        <v>#N/A</v>
      </c>
      <c r="J319" s="3" t="e">
        <f>VLOOKUP(A319,LookupLists!$I$3:$L$60,3,FALSE)</f>
        <v>#N/A</v>
      </c>
      <c r="K319" s="3" t="e">
        <f>VLOOKUP(A319,LookupLists!$I$3:$L$60,4,FALSE)</f>
        <v>#N/A</v>
      </c>
      <c r="L319" s="3" t="e">
        <f>VLOOKUP(C319,LookupLists!$A$3:$G$60,1,FALSE)</f>
        <v>#N/A</v>
      </c>
      <c r="M319" s="3" t="e">
        <f>VLOOKUP(C319,LookupLists!$A$3:$G$60,4,FALSE)</f>
        <v>#N/A</v>
      </c>
      <c r="N319" s="3" t="e">
        <f>VLOOKUP(C319,LookupLists!$A$3:$G$60,2,FALSE)</f>
        <v>#N/A</v>
      </c>
      <c r="O319" s="3" t="e">
        <f>VLOOKUP(C319,LookupLists!$A$3:$G$60,3,FALSE)</f>
        <v>#N/A</v>
      </c>
      <c r="P319" s="3" t="e">
        <f>VLOOKUP(C319,LookupLists!$A$3:$G$60,5,FALSE)</f>
        <v>#N/A</v>
      </c>
      <c r="Q319" s="3" t="e">
        <f>VLOOKUP(C319,LookupLists!$A$3:$G$60,6,FALSE)</f>
        <v>#N/A</v>
      </c>
      <c r="R319" s="4" t="e">
        <f>VLOOKUP(C319,LookupLists!$A$3:$G$60,7,FALSE)</f>
        <v>#N/A</v>
      </c>
      <c r="S319" s="3" t="e">
        <f>VLOOKUP(D319,LookupLists!$N$4:$T$60,1,FALSE)</f>
        <v>#N/A</v>
      </c>
      <c r="T319" s="3" t="e">
        <f>VLOOKUP(D319,LookupLists!$N$4:$T$60,2,FALSE)</f>
        <v>#N/A</v>
      </c>
      <c r="U319" s="3" t="e">
        <f>VLOOKUP(D319,LookupLists!$N$4:$T$60,3,FALSE)</f>
        <v>#N/A</v>
      </c>
      <c r="V319" s="3" t="e">
        <f>VLOOKUP(D319,LookupLists!$N$4:$T$60,5,FALSE)</f>
        <v>#N/A</v>
      </c>
    </row>
    <row r="320" spans="5:22" x14ac:dyDescent="0.3">
      <c r="E320" s="3" t="str">
        <f t="shared" si="4"/>
        <v/>
      </c>
      <c r="F320" s="3" t="str">
        <f xml:space="preserve"> IF(E320="","",  IFERROR(VLOOKUP(D320,LookupLists!$N$3:$T$60,6,FALSE)-LEN(E320),0))</f>
        <v/>
      </c>
      <c r="G320" s="3" t="str">
        <f>IF(E320="","",IFERROR(matches(E320,VLOOKUP(D320,LookupLists!$N$3:$T$60,7,FALSE)),FALSE))</f>
        <v/>
      </c>
      <c r="H320" s="3" t="e">
        <f>VLOOKUP(A320,LookupLists!$I$3:$L$60,1,FALSE)</f>
        <v>#N/A</v>
      </c>
      <c r="I320" s="3" t="e">
        <f>VLOOKUP(A320,LookupLists!$I$3:$L$60,2,FALSE)</f>
        <v>#N/A</v>
      </c>
      <c r="J320" s="3" t="e">
        <f>VLOOKUP(A320,LookupLists!$I$3:$L$60,3,FALSE)</f>
        <v>#N/A</v>
      </c>
      <c r="K320" s="3" t="e">
        <f>VLOOKUP(A320,LookupLists!$I$3:$L$60,4,FALSE)</f>
        <v>#N/A</v>
      </c>
      <c r="L320" s="3" t="e">
        <f>VLOOKUP(C320,LookupLists!$A$3:$G$60,1,FALSE)</f>
        <v>#N/A</v>
      </c>
      <c r="M320" s="3" t="e">
        <f>VLOOKUP(C320,LookupLists!$A$3:$G$60,4,FALSE)</f>
        <v>#N/A</v>
      </c>
      <c r="N320" s="3" t="e">
        <f>VLOOKUP(C320,LookupLists!$A$3:$G$60,2,FALSE)</f>
        <v>#N/A</v>
      </c>
      <c r="O320" s="3" t="e">
        <f>VLOOKUP(C320,LookupLists!$A$3:$G$60,3,FALSE)</f>
        <v>#N/A</v>
      </c>
      <c r="P320" s="3" t="e">
        <f>VLOOKUP(C320,LookupLists!$A$3:$G$60,5,FALSE)</f>
        <v>#N/A</v>
      </c>
      <c r="Q320" s="3" t="e">
        <f>VLOOKUP(C320,LookupLists!$A$3:$G$60,6,FALSE)</f>
        <v>#N/A</v>
      </c>
      <c r="R320" s="4" t="e">
        <f>VLOOKUP(C320,LookupLists!$A$3:$G$60,7,FALSE)</f>
        <v>#N/A</v>
      </c>
      <c r="S320" s="3" t="e">
        <f>VLOOKUP(D320,LookupLists!$N$4:$T$60,1,FALSE)</f>
        <v>#N/A</v>
      </c>
      <c r="T320" s="3" t="e">
        <f>VLOOKUP(D320,LookupLists!$N$4:$T$60,2,FALSE)</f>
        <v>#N/A</v>
      </c>
      <c r="U320" s="3" t="e">
        <f>VLOOKUP(D320,LookupLists!$N$4:$T$60,3,FALSE)</f>
        <v>#N/A</v>
      </c>
      <c r="V320" s="3" t="e">
        <f>VLOOKUP(D320,LookupLists!$N$4:$T$60,5,FALSE)</f>
        <v>#N/A</v>
      </c>
    </row>
    <row r="321" spans="5:22" x14ac:dyDescent="0.3">
      <c r="E321" s="3" t="str">
        <f t="shared" si="4"/>
        <v/>
      </c>
      <c r="F321" s="3" t="str">
        <f xml:space="preserve"> IF(E321="","",  IFERROR(VLOOKUP(D321,LookupLists!$N$3:$T$60,6,FALSE)-LEN(E321),0))</f>
        <v/>
      </c>
      <c r="G321" s="3" t="str">
        <f>IF(E321="","",IFERROR(matches(E321,VLOOKUP(D321,LookupLists!$N$3:$T$60,7,FALSE)),FALSE))</f>
        <v/>
      </c>
      <c r="H321" s="3" t="e">
        <f>VLOOKUP(A321,LookupLists!$I$3:$L$60,1,FALSE)</f>
        <v>#N/A</v>
      </c>
      <c r="I321" s="3" t="e">
        <f>VLOOKUP(A321,LookupLists!$I$3:$L$60,2,FALSE)</f>
        <v>#N/A</v>
      </c>
      <c r="J321" s="3" t="e">
        <f>VLOOKUP(A321,LookupLists!$I$3:$L$60,3,FALSE)</f>
        <v>#N/A</v>
      </c>
      <c r="K321" s="3" t="e">
        <f>VLOOKUP(A321,LookupLists!$I$3:$L$60,4,FALSE)</f>
        <v>#N/A</v>
      </c>
      <c r="L321" s="3" t="e">
        <f>VLOOKUP(C321,LookupLists!$A$3:$G$60,1,FALSE)</f>
        <v>#N/A</v>
      </c>
      <c r="M321" s="3" t="e">
        <f>VLOOKUP(C321,LookupLists!$A$3:$G$60,4,FALSE)</f>
        <v>#N/A</v>
      </c>
      <c r="N321" s="3" t="e">
        <f>VLOOKUP(C321,LookupLists!$A$3:$G$60,2,FALSE)</f>
        <v>#N/A</v>
      </c>
      <c r="O321" s="3" t="e">
        <f>VLOOKUP(C321,LookupLists!$A$3:$G$60,3,FALSE)</f>
        <v>#N/A</v>
      </c>
      <c r="P321" s="3" t="e">
        <f>VLOOKUP(C321,LookupLists!$A$3:$G$60,5,FALSE)</f>
        <v>#N/A</v>
      </c>
      <c r="Q321" s="3" t="e">
        <f>VLOOKUP(C321,LookupLists!$A$3:$G$60,6,FALSE)</f>
        <v>#N/A</v>
      </c>
      <c r="R321" s="4" t="e">
        <f>VLOOKUP(C321,LookupLists!$A$3:$G$60,7,FALSE)</f>
        <v>#N/A</v>
      </c>
      <c r="S321" s="3" t="e">
        <f>VLOOKUP(D321,LookupLists!$N$4:$T$60,1,FALSE)</f>
        <v>#N/A</v>
      </c>
      <c r="T321" s="3" t="e">
        <f>VLOOKUP(D321,LookupLists!$N$4:$T$60,2,FALSE)</f>
        <v>#N/A</v>
      </c>
      <c r="U321" s="3" t="e">
        <f>VLOOKUP(D321,LookupLists!$N$4:$T$60,3,FALSE)</f>
        <v>#N/A</v>
      </c>
      <c r="V321" s="3" t="e">
        <f>VLOOKUP(D321,LookupLists!$N$4:$T$60,5,FALSE)</f>
        <v>#N/A</v>
      </c>
    </row>
    <row r="322" spans="5:22" x14ac:dyDescent="0.3">
      <c r="E322" s="3" t="str">
        <f t="shared" si="4"/>
        <v/>
      </c>
      <c r="F322" s="3" t="str">
        <f xml:space="preserve"> IF(E322="","",  IFERROR(VLOOKUP(D322,LookupLists!$N$3:$T$60,6,FALSE)-LEN(E322),0))</f>
        <v/>
      </c>
      <c r="G322" s="3" t="str">
        <f>IF(E322="","",IFERROR(matches(E322,VLOOKUP(D322,LookupLists!$N$3:$T$60,7,FALSE)),FALSE))</f>
        <v/>
      </c>
      <c r="H322" s="3" t="e">
        <f>VLOOKUP(A322,LookupLists!$I$3:$L$60,1,FALSE)</f>
        <v>#N/A</v>
      </c>
      <c r="I322" s="3" t="e">
        <f>VLOOKUP(A322,LookupLists!$I$3:$L$60,2,FALSE)</f>
        <v>#N/A</v>
      </c>
      <c r="J322" s="3" t="e">
        <f>VLOOKUP(A322,LookupLists!$I$3:$L$60,3,FALSE)</f>
        <v>#N/A</v>
      </c>
      <c r="K322" s="3" t="e">
        <f>VLOOKUP(A322,LookupLists!$I$3:$L$60,4,FALSE)</f>
        <v>#N/A</v>
      </c>
      <c r="L322" s="3" t="e">
        <f>VLOOKUP(C322,LookupLists!$A$3:$G$60,1,FALSE)</f>
        <v>#N/A</v>
      </c>
      <c r="M322" s="3" t="e">
        <f>VLOOKUP(C322,LookupLists!$A$3:$G$60,4,FALSE)</f>
        <v>#N/A</v>
      </c>
      <c r="N322" s="3" t="e">
        <f>VLOOKUP(C322,LookupLists!$A$3:$G$60,2,FALSE)</f>
        <v>#N/A</v>
      </c>
      <c r="O322" s="3" t="e">
        <f>VLOOKUP(C322,LookupLists!$A$3:$G$60,3,FALSE)</f>
        <v>#N/A</v>
      </c>
      <c r="P322" s="3" t="e">
        <f>VLOOKUP(C322,LookupLists!$A$3:$G$60,5,FALSE)</f>
        <v>#N/A</v>
      </c>
      <c r="Q322" s="3" t="e">
        <f>VLOOKUP(C322,LookupLists!$A$3:$G$60,6,FALSE)</f>
        <v>#N/A</v>
      </c>
      <c r="R322" s="4" t="e">
        <f>VLOOKUP(C322,LookupLists!$A$3:$G$60,7,FALSE)</f>
        <v>#N/A</v>
      </c>
      <c r="S322" s="3" t="e">
        <f>VLOOKUP(D322,LookupLists!$N$4:$T$60,1,FALSE)</f>
        <v>#N/A</v>
      </c>
      <c r="T322" s="3" t="e">
        <f>VLOOKUP(D322,LookupLists!$N$4:$T$60,2,FALSE)</f>
        <v>#N/A</v>
      </c>
      <c r="U322" s="3" t="e">
        <f>VLOOKUP(D322,LookupLists!$N$4:$T$60,3,FALSE)</f>
        <v>#N/A</v>
      </c>
      <c r="V322" s="3" t="e">
        <f>VLOOKUP(D322,LookupLists!$N$4:$T$60,5,FALSE)</f>
        <v>#N/A</v>
      </c>
    </row>
    <row r="323" spans="5:22" x14ac:dyDescent="0.3">
      <c r="E323" s="3" t="str">
        <f t="shared" si="4"/>
        <v/>
      </c>
      <c r="F323" s="3" t="str">
        <f xml:space="preserve"> IF(E323="","",  IFERROR(VLOOKUP(D323,LookupLists!$N$3:$T$60,6,FALSE)-LEN(E323),0))</f>
        <v/>
      </c>
      <c r="G323" s="3" t="str">
        <f>IF(E323="","",IFERROR(matches(E323,VLOOKUP(D323,LookupLists!$N$3:$T$60,7,FALSE)),FALSE))</f>
        <v/>
      </c>
      <c r="H323" s="3" t="e">
        <f>VLOOKUP(A323,LookupLists!$I$3:$L$60,1,FALSE)</f>
        <v>#N/A</v>
      </c>
      <c r="I323" s="3" t="e">
        <f>VLOOKUP(A323,LookupLists!$I$3:$L$60,2,FALSE)</f>
        <v>#N/A</v>
      </c>
      <c r="J323" s="3" t="e">
        <f>VLOOKUP(A323,LookupLists!$I$3:$L$60,3,FALSE)</f>
        <v>#N/A</v>
      </c>
      <c r="K323" s="3" t="e">
        <f>VLOOKUP(A323,LookupLists!$I$3:$L$60,4,FALSE)</f>
        <v>#N/A</v>
      </c>
      <c r="L323" s="3" t="e">
        <f>VLOOKUP(C323,LookupLists!$A$3:$G$60,1,FALSE)</f>
        <v>#N/A</v>
      </c>
      <c r="M323" s="3" t="e">
        <f>VLOOKUP(C323,LookupLists!$A$3:$G$60,4,FALSE)</f>
        <v>#N/A</v>
      </c>
      <c r="N323" s="3" t="e">
        <f>VLOOKUP(C323,LookupLists!$A$3:$G$60,2,FALSE)</f>
        <v>#N/A</v>
      </c>
      <c r="O323" s="3" t="e">
        <f>VLOOKUP(C323,LookupLists!$A$3:$G$60,3,FALSE)</f>
        <v>#N/A</v>
      </c>
      <c r="P323" s="3" t="e">
        <f>VLOOKUP(C323,LookupLists!$A$3:$G$60,5,FALSE)</f>
        <v>#N/A</v>
      </c>
      <c r="Q323" s="3" t="e">
        <f>VLOOKUP(C323,LookupLists!$A$3:$G$60,6,FALSE)</f>
        <v>#N/A</v>
      </c>
      <c r="R323" s="4" t="e">
        <f>VLOOKUP(C323,LookupLists!$A$3:$G$60,7,FALSE)</f>
        <v>#N/A</v>
      </c>
      <c r="S323" s="3" t="e">
        <f>VLOOKUP(D323,LookupLists!$N$4:$T$60,1,FALSE)</f>
        <v>#N/A</v>
      </c>
      <c r="T323" s="3" t="e">
        <f>VLOOKUP(D323,LookupLists!$N$4:$T$60,2,FALSE)</f>
        <v>#N/A</v>
      </c>
      <c r="U323" s="3" t="e">
        <f>VLOOKUP(D323,LookupLists!$N$4:$T$60,3,FALSE)</f>
        <v>#N/A</v>
      </c>
      <c r="V323" s="3" t="e">
        <f>VLOOKUP(D323,LookupLists!$N$4:$T$60,5,FALSE)</f>
        <v>#N/A</v>
      </c>
    </row>
    <row r="324" spans="5:22" x14ac:dyDescent="0.3">
      <c r="E324" s="3" t="str">
        <f t="shared" si="4"/>
        <v/>
      </c>
      <c r="F324" s="3" t="str">
        <f xml:space="preserve"> IF(E324="","",  IFERROR(VLOOKUP(D324,LookupLists!$N$3:$T$60,6,FALSE)-LEN(E324),0))</f>
        <v/>
      </c>
      <c r="G324" s="3" t="str">
        <f>IF(E324="","",IFERROR(matches(E324,VLOOKUP(D324,LookupLists!$N$3:$T$60,7,FALSE)),FALSE))</f>
        <v/>
      </c>
      <c r="H324" s="3" t="e">
        <f>VLOOKUP(A324,LookupLists!$I$3:$L$60,1,FALSE)</f>
        <v>#N/A</v>
      </c>
      <c r="I324" s="3" t="e">
        <f>VLOOKUP(A324,LookupLists!$I$3:$L$60,2,FALSE)</f>
        <v>#N/A</v>
      </c>
      <c r="J324" s="3" t="e">
        <f>VLOOKUP(A324,LookupLists!$I$3:$L$60,3,FALSE)</f>
        <v>#N/A</v>
      </c>
      <c r="K324" s="3" t="e">
        <f>VLOOKUP(A324,LookupLists!$I$3:$L$60,4,FALSE)</f>
        <v>#N/A</v>
      </c>
      <c r="L324" s="3" t="e">
        <f>VLOOKUP(C324,LookupLists!$A$3:$G$60,1,FALSE)</f>
        <v>#N/A</v>
      </c>
      <c r="M324" s="3" t="e">
        <f>VLOOKUP(C324,LookupLists!$A$3:$G$60,4,FALSE)</f>
        <v>#N/A</v>
      </c>
      <c r="N324" s="3" t="e">
        <f>VLOOKUP(C324,LookupLists!$A$3:$G$60,2,FALSE)</f>
        <v>#N/A</v>
      </c>
      <c r="O324" s="3" t="e">
        <f>VLOOKUP(C324,LookupLists!$A$3:$G$60,3,FALSE)</f>
        <v>#N/A</v>
      </c>
      <c r="P324" s="3" t="e">
        <f>VLOOKUP(C324,LookupLists!$A$3:$G$60,5,FALSE)</f>
        <v>#N/A</v>
      </c>
      <c r="Q324" s="3" t="e">
        <f>VLOOKUP(C324,LookupLists!$A$3:$G$60,6,FALSE)</f>
        <v>#N/A</v>
      </c>
      <c r="R324" s="4" t="e">
        <f>VLOOKUP(C324,LookupLists!$A$3:$G$60,7,FALSE)</f>
        <v>#N/A</v>
      </c>
      <c r="S324" s="3" t="e">
        <f>VLOOKUP(D324,LookupLists!$N$4:$T$60,1,FALSE)</f>
        <v>#N/A</v>
      </c>
      <c r="T324" s="3" t="e">
        <f>VLOOKUP(D324,LookupLists!$N$4:$T$60,2,FALSE)</f>
        <v>#N/A</v>
      </c>
      <c r="U324" s="3" t="e">
        <f>VLOOKUP(D324,LookupLists!$N$4:$T$60,3,FALSE)</f>
        <v>#N/A</v>
      </c>
      <c r="V324" s="3" t="e">
        <f>VLOOKUP(D324,LookupLists!$N$4:$T$60,5,FALSE)</f>
        <v>#N/A</v>
      </c>
    </row>
    <row r="325" spans="5:22" x14ac:dyDescent="0.3">
      <c r="E325" s="3" t="str">
        <f t="shared" si="4"/>
        <v/>
      </c>
      <c r="F325" s="3" t="str">
        <f xml:space="preserve"> IF(E325="","",  IFERROR(VLOOKUP(D325,LookupLists!$N$3:$T$60,6,FALSE)-LEN(E325),0))</f>
        <v/>
      </c>
      <c r="G325" s="3" t="str">
        <f>IF(E325="","",IFERROR(matches(E325,VLOOKUP(D325,LookupLists!$N$3:$T$60,7,FALSE)),FALSE))</f>
        <v/>
      </c>
      <c r="H325" s="3" t="e">
        <f>VLOOKUP(A325,LookupLists!$I$3:$L$60,1,FALSE)</f>
        <v>#N/A</v>
      </c>
      <c r="I325" s="3" t="e">
        <f>VLOOKUP(A325,LookupLists!$I$3:$L$60,2,FALSE)</f>
        <v>#N/A</v>
      </c>
      <c r="J325" s="3" t="e">
        <f>VLOOKUP(A325,LookupLists!$I$3:$L$60,3,FALSE)</f>
        <v>#N/A</v>
      </c>
      <c r="K325" s="3" t="e">
        <f>VLOOKUP(A325,LookupLists!$I$3:$L$60,4,FALSE)</f>
        <v>#N/A</v>
      </c>
      <c r="L325" s="3" t="e">
        <f>VLOOKUP(C325,LookupLists!$A$3:$G$60,1,FALSE)</f>
        <v>#N/A</v>
      </c>
      <c r="M325" s="3" t="e">
        <f>VLOOKUP(C325,LookupLists!$A$3:$G$60,4,FALSE)</f>
        <v>#N/A</v>
      </c>
      <c r="N325" s="3" t="e">
        <f>VLOOKUP(C325,LookupLists!$A$3:$G$60,2,FALSE)</f>
        <v>#N/A</v>
      </c>
      <c r="O325" s="3" t="e">
        <f>VLOOKUP(C325,LookupLists!$A$3:$G$60,3,FALSE)</f>
        <v>#N/A</v>
      </c>
      <c r="P325" s="3" t="e">
        <f>VLOOKUP(C325,LookupLists!$A$3:$G$60,5,FALSE)</f>
        <v>#N/A</v>
      </c>
      <c r="Q325" s="3" t="e">
        <f>VLOOKUP(C325,LookupLists!$A$3:$G$60,6,FALSE)</f>
        <v>#N/A</v>
      </c>
      <c r="R325" s="4" t="e">
        <f>VLOOKUP(C325,LookupLists!$A$3:$G$60,7,FALSE)</f>
        <v>#N/A</v>
      </c>
      <c r="S325" s="3" t="e">
        <f>VLOOKUP(D325,LookupLists!$N$4:$T$60,1,FALSE)</f>
        <v>#N/A</v>
      </c>
      <c r="T325" s="3" t="e">
        <f>VLOOKUP(D325,LookupLists!$N$4:$T$60,2,FALSE)</f>
        <v>#N/A</v>
      </c>
      <c r="U325" s="3" t="e">
        <f>VLOOKUP(D325,LookupLists!$N$4:$T$60,3,FALSE)</f>
        <v>#N/A</v>
      </c>
      <c r="V325" s="3" t="e">
        <f>VLOOKUP(D325,LookupLists!$N$4:$T$60,5,FALSE)</f>
        <v>#N/A</v>
      </c>
    </row>
    <row r="326" spans="5:22" x14ac:dyDescent="0.3">
      <c r="E326" s="3" t="str">
        <f t="shared" si="4"/>
        <v/>
      </c>
      <c r="F326" s="3" t="str">
        <f xml:space="preserve"> IF(E326="","",  IFERROR(VLOOKUP(D326,LookupLists!$N$3:$T$60,6,FALSE)-LEN(E326),0))</f>
        <v/>
      </c>
      <c r="G326" s="3" t="str">
        <f>IF(E326="","",IFERROR(matches(E326,VLOOKUP(D326,LookupLists!$N$3:$T$60,7,FALSE)),FALSE))</f>
        <v/>
      </c>
      <c r="H326" s="3" t="e">
        <f>VLOOKUP(A326,LookupLists!$I$3:$L$60,1,FALSE)</f>
        <v>#N/A</v>
      </c>
      <c r="I326" s="3" t="e">
        <f>VLOOKUP(A326,LookupLists!$I$3:$L$60,2,FALSE)</f>
        <v>#N/A</v>
      </c>
      <c r="J326" s="3" t="e">
        <f>VLOOKUP(A326,LookupLists!$I$3:$L$60,3,FALSE)</f>
        <v>#N/A</v>
      </c>
      <c r="K326" s="3" t="e">
        <f>VLOOKUP(A326,LookupLists!$I$3:$L$60,4,FALSE)</f>
        <v>#N/A</v>
      </c>
      <c r="L326" s="3" t="e">
        <f>VLOOKUP(C326,LookupLists!$A$3:$G$60,1,FALSE)</f>
        <v>#N/A</v>
      </c>
      <c r="M326" s="3" t="e">
        <f>VLOOKUP(C326,LookupLists!$A$3:$G$60,4,FALSE)</f>
        <v>#N/A</v>
      </c>
      <c r="N326" s="3" t="e">
        <f>VLOOKUP(C326,LookupLists!$A$3:$G$60,2,FALSE)</f>
        <v>#N/A</v>
      </c>
      <c r="O326" s="3" t="e">
        <f>VLOOKUP(C326,LookupLists!$A$3:$G$60,3,FALSE)</f>
        <v>#N/A</v>
      </c>
      <c r="P326" s="3" t="e">
        <f>VLOOKUP(C326,LookupLists!$A$3:$G$60,5,FALSE)</f>
        <v>#N/A</v>
      </c>
      <c r="Q326" s="3" t="e">
        <f>VLOOKUP(C326,LookupLists!$A$3:$G$60,6,FALSE)</f>
        <v>#N/A</v>
      </c>
      <c r="R326" s="4" t="e">
        <f>VLOOKUP(C326,LookupLists!$A$3:$G$60,7,FALSE)</f>
        <v>#N/A</v>
      </c>
      <c r="S326" s="3" t="e">
        <f>VLOOKUP(D326,LookupLists!$N$4:$T$60,1,FALSE)</f>
        <v>#N/A</v>
      </c>
      <c r="T326" s="3" t="e">
        <f>VLOOKUP(D326,LookupLists!$N$4:$T$60,2,FALSE)</f>
        <v>#N/A</v>
      </c>
      <c r="U326" s="3" t="e">
        <f>VLOOKUP(D326,LookupLists!$N$4:$T$60,3,FALSE)</f>
        <v>#N/A</v>
      </c>
      <c r="V326" s="3" t="e">
        <f>VLOOKUP(D326,LookupLists!$N$4:$T$60,5,FALSE)</f>
        <v>#N/A</v>
      </c>
    </row>
    <row r="327" spans="5:22" x14ac:dyDescent="0.3">
      <c r="E327" s="3" t="str">
        <f t="shared" si="4"/>
        <v/>
      </c>
      <c r="F327" s="3" t="str">
        <f xml:space="preserve"> IF(E327="","",  IFERROR(VLOOKUP(D327,LookupLists!$N$3:$T$60,6,FALSE)-LEN(E327),0))</f>
        <v/>
      </c>
      <c r="G327" s="3" t="str">
        <f>IF(E327="","",IFERROR(matches(E327,VLOOKUP(D327,LookupLists!$N$3:$T$60,7,FALSE)),FALSE))</f>
        <v/>
      </c>
      <c r="H327" s="3" t="e">
        <f>VLOOKUP(A327,LookupLists!$I$3:$L$60,1,FALSE)</f>
        <v>#N/A</v>
      </c>
      <c r="I327" s="3" t="e">
        <f>VLOOKUP(A327,LookupLists!$I$3:$L$60,2,FALSE)</f>
        <v>#N/A</v>
      </c>
      <c r="J327" s="3" t="e">
        <f>VLOOKUP(A327,LookupLists!$I$3:$L$60,3,FALSE)</f>
        <v>#N/A</v>
      </c>
      <c r="K327" s="3" t="e">
        <f>VLOOKUP(A327,LookupLists!$I$3:$L$60,4,FALSE)</f>
        <v>#N/A</v>
      </c>
      <c r="L327" s="3" t="e">
        <f>VLOOKUP(C327,LookupLists!$A$3:$G$60,1,FALSE)</f>
        <v>#N/A</v>
      </c>
      <c r="M327" s="3" t="e">
        <f>VLOOKUP(C327,LookupLists!$A$3:$G$60,4,FALSE)</f>
        <v>#N/A</v>
      </c>
      <c r="N327" s="3" t="e">
        <f>VLOOKUP(C327,LookupLists!$A$3:$G$60,2,FALSE)</f>
        <v>#N/A</v>
      </c>
      <c r="O327" s="3" t="e">
        <f>VLOOKUP(C327,LookupLists!$A$3:$G$60,3,FALSE)</f>
        <v>#N/A</v>
      </c>
      <c r="P327" s="3" t="e">
        <f>VLOOKUP(C327,LookupLists!$A$3:$G$60,5,FALSE)</f>
        <v>#N/A</v>
      </c>
      <c r="Q327" s="3" t="e">
        <f>VLOOKUP(C327,LookupLists!$A$3:$G$60,6,FALSE)</f>
        <v>#N/A</v>
      </c>
      <c r="R327" s="4" t="e">
        <f>VLOOKUP(C327,LookupLists!$A$3:$G$60,7,FALSE)</f>
        <v>#N/A</v>
      </c>
      <c r="S327" s="3" t="e">
        <f>VLOOKUP(D327,LookupLists!$N$4:$T$60,1,FALSE)</f>
        <v>#N/A</v>
      </c>
      <c r="T327" s="3" t="e">
        <f>VLOOKUP(D327,LookupLists!$N$4:$T$60,2,FALSE)</f>
        <v>#N/A</v>
      </c>
      <c r="U327" s="3" t="e">
        <f>VLOOKUP(D327,LookupLists!$N$4:$T$60,3,FALSE)</f>
        <v>#N/A</v>
      </c>
      <c r="V327" s="3" t="e">
        <f>VLOOKUP(D327,LookupLists!$N$4:$T$60,5,FALSE)</f>
        <v>#N/A</v>
      </c>
    </row>
    <row r="328" spans="5:22" x14ac:dyDescent="0.3">
      <c r="E328" s="3" t="str">
        <f t="shared" ref="E328:E391" si="5">IFERROR(ComputeResourceName($B$3,$B$2,$B$1,B328,H328,I328,J328,K328,L328,N328,O328,M328,R328,S328,T328,U328,V328,0),"")</f>
        <v/>
      </c>
      <c r="F328" s="3" t="str">
        <f xml:space="preserve"> IF(E328="","",  IFERROR(VLOOKUP(D328,LookupLists!$N$3:$T$60,6,FALSE)-LEN(E328),0))</f>
        <v/>
      </c>
      <c r="G328" s="3" t="str">
        <f>IF(E328="","",IFERROR(matches(E328,VLOOKUP(D328,LookupLists!$N$3:$T$60,7,FALSE)),FALSE))</f>
        <v/>
      </c>
      <c r="H328" s="3" t="e">
        <f>VLOOKUP(A328,LookupLists!$I$3:$L$60,1,FALSE)</f>
        <v>#N/A</v>
      </c>
      <c r="I328" s="3" t="e">
        <f>VLOOKUP(A328,LookupLists!$I$3:$L$60,2,FALSE)</f>
        <v>#N/A</v>
      </c>
      <c r="J328" s="3" t="e">
        <f>VLOOKUP(A328,LookupLists!$I$3:$L$60,3,FALSE)</f>
        <v>#N/A</v>
      </c>
      <c r="K328" s="3" t="e">
        <f>VLOOKUP(A328,LookupLists!$I$3:$L$60,4,FALSE)</f>
        <v>#N/A</v>
      </c>
      <c r="L328" s="3" t="e">
        <f>VLOOKUP(C328,LookupLists!$A$3:$G$60,1,FALSE)</f>
        <v>#N/A</v>
      </c>
      <c r="M328" s="3" t="e">
        <f>VLOOKUP(C328,LookupLists!$A$3:$G$60,4,FALSE)</f>
        <v>#N/A</v>
      </c>
      <c r="N328" s="3" t="e">
        <f>VLOOKUP(C328,LookupLists!$A$3:$G$60,2,FALSE)</f>
        <v>#N/A</v>
      </c>
      <c r="O328" s="3" t="e">
        <f>VLOOKUP(C328,LookupLists!$A$3:$G$60,3,FALSE)</f>
        <v>#N/A</v>
      </c>
      <c r="P328" s="3" t="e">
        <f>VLOOKUP(C328,LookupLists!$A$3:$G$60,5,FALSE)</f>
        <v>#N/A</v>
      </c>
      <c r="Q328" s="3" t="e">
        <f>VLOOKUP(C328,LookupLists!$A$3:$G$60,6,FALSE)</f>
        <v>#N/A</v>
      </c>
      <c r="R328" s="4" t="e">
        <f>VLOOKUP(C328,LookupLists!$A$3:$G$60,7,FALSE)</f>
        <v>#N/A</v>
      </c>
      <c r="S328" s="3" t="e">
        <f>VLOOKUP(D328,LookupLists!$N$4:$T$60,1,FALSE)</f>
        <v>#N/A</v>
      </c>
      <c r="T328" s="3" t="e">
        <f>VLOOKUP(D328,LookupLists!$N$4:$T$60,2,FALSE)</f>
        <v>#N/A</v>
      </c>
      <c r="U328" s="3" t="e">
        <f>VLOOKUP(D328,LookupLists!$N$4:$T$60,3,FALSE)</f>
        <v>#N/A</v>
      </c>
      <c r="V328" s="3" t="e">
        <f>VLOOKUP(D328,LookupLists!$N$4:$T$60,5,FALSE)</f>
        <v>#N/A</v>
      </c>
    </row>
    <row r="329" spans="5:22" x14ac:dyDescent="0.3">
      <c r="E329" s="3" t="str">
        <f t="shared" si="5"/>
        <v/>
      </c>
      <c r="F329" s="3" t="str">
        <f xml:space="preserve"> IF(E329="","",  IFERROR(VLOOKUP(D329,LookupLists!$N$3:$T$60,6,FALSE)-LEN(E329),0))</f>
        <v/>
      </c>
      <c r="G329" s="3" t="str">
        <f>IF(E329="","",IFERROR(matches(E329,VLOOKUP(D329,LookupLists!$N$3:$T$60,7,FALSE)),FALSE))</f>
        <v/>
      </c>
      <c r="H329" s="3" t="e">
        <f>VLOOKUP(A329,LookupLists!$I$3:$L$60,1,FALSE)</f>
        <v>#N/A</v>
      </c>
      <c r="I329" s="3" t="e">
        <f>VLOOKUP(A329,LookupLists!$I$3:$L$60,2,FALSE)</f>
        <v>#N/A</v>
      </c>
      <c r="J329" s="3" t="e">
        <f>VLOOKUP(A329,LookupLists!$I$3:$L$60,3,FALSE)</f>
        <v>#N/A</v>
      </c>
      <c r="K329" s="3" t="e">
        <f>VLOOKUP(A329,LookupLists!$I$3:$L$60,4,FALSE)</f>
        <v>#N/A</v>
      </c>
      <c r="L329" s="3" t="e">
        <f>VLOOKUP(C329,LookupLists!$A$3:$G$60,1,FALSE)</f>
        <v>#N/A</v>
      </c>
      <c r="M329" s="3" t="e">
        <f>VLOOKUP(C329,LookupLists!$A$3:$G$60,4,FALSE)</f>
        <v>#N/A</v>
      </c>
      <c r="N329" s="3" t="e">
        <f>VLOOKUP(C329,LookupLists!$A$3:$G$60,2,FALSE)</f>
        <v>#N/A</v>
      </c>
      <c r="O329" s="3" t="e">
        <f>VLOOKUP(C329,LookupLists!$A$3:$G$60,3,FALSE)</f>
        <v>#N/A</v>
      </c>
      <c r="P329" s="3" t="e">
        <f>VLOOKUP(C329,LookupLists!$A$3:$G$60,5,FALSE)</f>
        <v>#N/A</v>
      </c>
      <c r="Q329" s="3" t="e">
        <f>VLOOKUP(C329,LookupLists!$A$3:$G$60,6,FALSE)</f>
        <v>#N/A</v>
      </c>
      <c r="R329" s="4" t="e">
        <f>VLOOKUP(C329,LookupLists!$A$3:$G$60,7,FALSE)</f>
        <v>#N/A</v>
      </c>
      <c r="S329" s="3" t="e">
        <f>VLOOKUP(D329,LookupLists!$N$4:$T$60,1,FALSE)</f>
        <v>#N/A</v>
      </c>
      <c r="T329" s="3" t="e">
        <f>VLOOKUP(D329,LookupLists!$N$4:$T$60,2,FALSE)</f>
        <v>#N/A</v>
      </c>
      <c r="U329" s="3" t="e">
        <f>VLOOKUP(D329,LookupLists!$N$4:$T$60,3,FALSE)</f>
        <v>#N/A</v>
      </c>
      <c r="V329" s="3" t="e">
        <f>VLOOKUP(D329,LookupLists!$N$4:$T$60,5,FALSE)</f>
        <v>#N/A</v>
      </c>
    </row>
    <row r="330" spans="5:22" x14ac:dyDescent="0.3">
      <c r="E330" s="3" t="str">
        <f t="shared" si="5"/>
        <v/>
      </c>
      <c r="F330" s="3" t="str">
        <f xml:space="preserve"> IF(E330="","",  IFERROR(VLOOKUP(D330,LookupLists!$N$3:$T$60,6,FALSE)-LEN(E330),0))</f>
        <v/>
      </c>
      <c r="G330" s="3" t="str">
        <f>IF(E330="","",IFERROR(matches(E330,VLOOKUP(D330,LookupLists!$N$3:$T$60,7,FALSE)),FALSE))</f>
        <v/>
      </c>
      <c r="H330" s="3" t="e">
        <f>VLOOKUP(A330,LookupLists!$I$3:$L$60,1,FALSE)</f>
        <v>#N/A</v>
      </c>
      <c r="I330" s="3" t="e">
        <f>VLOOKUP(A330,LookupLists!$I$3:$L$60,2,FALSE)</f>
        <v>#N/A</v>
      </c>
      <c r="J330" s="3" t="e">
        <f>VLOOKUP(A330,LookupLists!$I$3:$L$60,3,FALSE)</f>
        <v>#N/A</v>
      </c>
      <c r="K330" s="3" t="e">
        <f>VLOOKUP(A330,LookupLists!$I$3:$L$60,4,FALSE)</f>
        <v>#N/A</v>
      </c>
      <c r="L330" s="3" t="e">
        <f>VLOOKUP(C330,LookupLists!$A$3:$G$60,1,FALSE)</f>
        <v>#N/A</v>
      </c>
      <c r="M330" s="3" t="e">
        <f>VLOOKUP(C330,LookupLists!$A$3:$G$60,4,FALSE)</f>
        <v>#N/A</v>
      </c>
      <c r="N330" s="3" t="e">
        <f>VLOOKUP(C330,LookupLists!$A$3:$G$60,2,FALSE)</f>
        <v>#N/A</v>
      </c>
      <c r="O330" s="3" t="e">
        <f>VLOOKUP(C330,LookupLists!$A$3:$G$60,3,FALSE)</f>
        <v>#N/A</v>
      </c>
      <c r="P330" s="3" t="e">
        <f>VLOOKUP(C330,LookupLists!$A$3:$G$60,5,FALSE)</f>
        <v>#N/A</v>
      </c>
      <c r="Q330" s="3" t="e">
        <f>VLOOKUP(C330,LookupLists!$A$3:$G$60,6,FALSE)</f>
        <v>#N/A</v>
      </c>
      <c r="R330" s="4" t="e">
        <f>VLOOKUP(C330,LookupLists!$A$3:$G$60,7,FALSE)</f>
        <v>#N/A</v>
      </c>
      <c r="S330" s="3" t="e">
        <f>VLOOKUP(D330,LookupLists!$N$4:$T$60,1,FALSE)</f>
        <v>#N/A</v>
      </c>
      <c r="T330" s="3" t="e">
        <f>VLOOKUP(D330,LookupLists!$N$4:$T$60,2,FALSE)</f>
        <v>#N/A</v>
      </c>
      <c r="U330" s="3" t="e">
        <f>VLOOKUP(D330,LookupLists!$N$4:$T$60,3,FALSE)</f>
        <v>#N/A</v>
      </c>
      <c r="V330" s="3" t="e">
        <f>VLOOKUP(D330,LookupLists!$N$4:$T$60,5,FALSE)</f>
        <v>#N/A</v>
      </c>
    </row>
    <row r="331" spans="5:22" x14ac:dyDescent="0.3">
      <c r="E331" s="3" t="str">
        <f t="shared" si="5"/>
        <v/>
      </c>
      <c r="F331" s="3" t="str">
        <f xml:space="preserve"> IF(E331="","",  IFERROR(VLOOKUP(D331,LookupLists!$N$3:$T$60,6,FALSE)-LEN(E331),0))</f>
        <v/>
      </c>
      <c r="G331" s="3" t="str">
        <f>IF(E331="","",IFERROR(matches(E331,VLOOKUP(D331,LookupLists!$N$3:$T$60,7,FALSE)),FALSE))</f>
        <v/>
      </c>
      <c r="H331" s="3" t="e">
        <f>VLOOKUP(A331,LookupLists!$I$3:$L$60,1,FALSE)</f>
        <v>#N/A</v>
      </c>
      <c r="I331" s="3" t="e">
        <f>VLOOKUP(A331,LookupLists!$I$3:$L$60,2,FALSE)</f>
        <v>#N/A</v>
      </c>
      <c r="J331" s="3" t="e">
        <f>VLOOKUP(A331,LookupLists!$I$3:$L$60,3,FALSE)</f>
        <v>#N/A</v>
      </c>
      <c r="K331" s="3" t="e">
        <f>VLOOKUP(A331,LookupLists!$I$3:$L$60,4,FALSE)</f>
        <v>#N/A</v>
      </c>
      <c r="L331" s="3" t="e">
        <f>VLOOKUP(C331,LookupLists!$A$3:$G$60,1,FALSE)</f>
        <v>#N/A</v>
      </c>
      <c r="M331" s="3" t="e">
        <f>VLOOKUP(C331,LookupLists!$A$3:$G$60,4,FALSE)</f>
        <v>#N/A</v>
      </c>
      <c r="N331" s="3" t="e">
        <f>VLOOKUP(C331,LookupLists!$A$3:$G$60,2,FALSE)</f>
        <v>#N/A</v>
      </c>
      <c r="O331" s="3" t="e">
        <f>VLOOKUP(C331,LookupLists!$A$3:$G$60,3,FALSE)</f>
        <v>#N/A</v>
      </c>
      <c r="P331" s="3" t="e">
        <f>VLOOKUP(C331,LookupLists!$A$3:$G$60,5,FALSE)</f>
        <v>#N/A</v>
      </c>
      <c r="Q331" s="3" t="e">
        <f>VLOOKUP(C331,LookupLists!$A$3:$G$60,6,FALSE)</f>
        <v>#N/A</v>
      </c>
      <c r="R331" s="4" t="e">
        <f>VLOOKUP(C331,LookupLists!$A$3:$G$60,7,FALSE)</f>
        <v>#N/A</v>
      </c>
      <c r="S331" s="3" t="e">
        <f>VLOOKUP(D331,LookupLists!$N$4:$T$60,1,FALSE)</f>
        <v>#N/A</v>
      </c>
      <c r="T331" s="3" t="e">
        <f>VLOOKUP(D331,LookupLists!$N$4:$T$60,2,FALSE)</f>
        <v>#N/A</v>
      </c>
      <c r="U331" s="3" t="e">
        <f>VLOOKUP(D331,LookupLists!$N$4:$T$60,3,FALSE)</f>
        <v>#N/A</v>
      </c>
      <c r="V331" s="3" t="e">
        <f>VLOOKUP(D331,LookupLists!$N$4:$T$60,5,FALSE)</f>
        <v>#N/A</v>
      </c>
    </row>
    <row r="332" spans="5:22" x14ac:dyDescent="0.3">
      <c r="E332" s="3" t="str">
        <f t="shared" si="5"/>
        <v/>
      </c>
      <c r="F332" s="3" t="str">
        <f xml:space="preserve"> IF(E332="","",  IFERROR(VLOOKUP(D332,LookupLists!$N$3:$T$60,6,FALSE)-LEN(E332),0))</f>
        <v/>
      </c>
      <c r="G332" s="3" t="str">
        <f>IF(E332="","",IFERROR(matches(E332,VLOOKUP(D332,LookupLists!$N$3:$T$60,7,FALSE)),FALSE))</f>
        <v/>
      </c>
      <c r="H332" s="3" t="e">
        <f>VLOOKUP(A332,LookupLists!$I$3:$L$60,1,FALSE)</f>
        <v>#N/A</v>
      </c>
      <c r="I332" s="3" t="e">
        <f>VLOOKUP(A332,LookupLists!$I$3:$L$60,2,FALSE)</f>
        <v>#N/A</v>
      </c>
      <c r="J332" s="3" t="e">
        <f>VLOOKUP(A332,LookupLists!$I$3:$L$60,3,FALSE)</f>
        <v>#N/A</v>
      </c>
      <c r="K332" s="3" t="e">
        <f>VLOOKUP(A332,LookupLists!$I$3:$L$60,4,FALSE)</f>
        <v>#N/A</v>
      </c>
      <c r="L332" s="3" t="e">
        <f>VLOOKUP(C332,LookupLists!$A$3:$G$60,1,FALSE)</f>
        <v>#N/A</v>
      </c>
      <c r="M332" s="3" t="e">
        <f>VLOOKUP(C332,LookupLists!$A$3:$G$60,4,FALSE)</f>
        <v>#N/A</v>
      </c>
      <c r="N332" s="3" t="e">
        <f>VLOOKUP(C332,LookupLists!$A$3:$G$60,2,FALSE)</f>
        <v>#N/A</v>
      </c>
      <c r="O332" s="3" t="e">
        <f>VLOOKUP(C332,LookupLists!$A$3:$G$60,3,FALSE)</f>
        <v>#N/A</v>
      </c>
      <c r="P332" s="3" t="e">
        <f>VLOOKUP(C332,LookupLists!$A$3:$G$60,5,FALSE)</f>
        <v>#N/A</v>
      </c>
      <c r="Q332" s="3" t="e">
        <f>VLOOKUP(C332,LookupLists!$A$3:$G$60,6,FALSE)</f>
        <v>#N/A</v>
      </c>
      <c r="R332" s="4" t="e">
        <f>VLOOKUP(C332,LookupLists!$A$3:$G$60,7,FALSE)</f>
        <v>#N/A</v>
      </c>
      <c r="S332" s="3" t="e">
        <f>VLOOKUP(D332,LookupLists!$N$4:$T$60,1,FALSE)</f>
        <v>#N/A</v>
      </c>
      <c r="T332" s="3" t="e">
        <f>VLOOKUP(D332,LookupLists!$N$4:$T$60,2,FALSE)</f>
        <v>#N/A</v>
      </c>
      <c r="U332" s="3" t="e">
        <f>VLOOKUP(D332,LookupLists!$N$4:$T$60,3,FALSE)</f>
        <v>#N/A</v>
      </c>
      <c r="V332" s="3" t="e">
        <f>VLOOKUP(D332,LookupLists!$N$4:$T$60,5,FALSE)</f>
        <v>#N/A</v>
      </c>
    </row>
    <row r="333" spans="5:22" x14ac:dyDescent="0.3">
      <c r="E333" s="3" t="str">
        <f t="shared" si="5"/>
        <v/>
      </c>
      <c r="F333" s="3" t="str">
        <f xml:space="preserve"> IF(E333="","",  IFERROR(VLOOKUP(D333,LookupLists!$N$3:$T$60,6,FALSE)-LEN(E333),0))</f>
        <v/>
      </c>
      <c r="G333" s="3" t="str">
        <f>IF(E333="","",IFERROR(matches(E333,VLOOKUP(D333,LookupLists!$N$3:$T$60,7,FALSE)),FALSE))</f>
        <v/>
      </c>
      <c r="H333" s="3" t="e">
        <f>VLOOKUP(A333,LookupLists!$I$3:$L$60,1,FALSE)</f>
        <v>#N/A</v>
      </c>
      <c r="I333" s="3" t="e">
        <f>VLOOKUP(A333,LookupLists!$I$3:$L$60,2,FALSE)</f>
        <v>#N/A</v>
      </c>
      <c r="J333" s="3" t="e">
        <f>VLOOKUP(A333,LookupLists!$I$3:$L$60,3,FALSE)</f>
        <v>#N/A</v>
      </c>
      <c r="K333" s="3" t="e">
        <f>VLOOKUP(A333,LookupLists!$I$3:$L$60,4,FALSE)</f>
        <v>#N/A</v>
      </c>
      <c r="L333" s="3" t="e">
        <f>VLOOKUP(C333,LookupLists!$A$3:$G$60,1,FALSE)</f>
        <v>#N/A</v>
      </c>
      <c r="M333" s="3" t="e">
        <f>VLOOKUP(C333,LookupLists!$A$3:$G$60,4,FALSE)</f>
        <v>#N/A</v>
      </c>
      <c r="N333" s="3" t="e">
        <f>VLOOKUP(C333,LookupLists!$A$3:$G$60,2,FALSE)</f>
        <v>#N/A</v>
      </c>
      <c r="O333" s="3" t="e">
        <f>VLOOKUP(C333,LookupLists!$A$3:$G$60,3,FALSE)</f>
        <v>#N/A</v>
      </c>
      <c r="P333" s="3" t="e">
        <f>VLOOKUP(C333,LookupLists!$A$3:$G$60,5,FALSE)</f>
        <v>#N/A</v>
      </c>
      <c r="Q333" s="3" t="e">
        <f>VLOOKUP(C333,LookupLists!$A$3:$G$60,6,FALSE)</f>
        <v>#N/A</v>
      </c>
      <c r="R333" s="4" t="e">
        <f>VLOOKUP(C333,LookupLists!$A$3:$G$60,7,FALSE)</f>
        <v>#N/A</v>
      </c>
      <c r="S333" s="3" t="e">
        <f>VLOOKUP(D333,LookupLists!$N$4:$T$60,1,FALSE)</f>
        <v>#N/A</v>
      </c>
      <c r="T333" s="3" t="e">
        <f>VLOOKUP(D333,LookupLists!$N$4:$T$60,2,FALSE)</f>
        <v>#N/A</v>
      </c>
      <c r="U333" s="3" t="e">
        <f>VLOOKUP(D333,LookupLists!$N$4:$T$60,3,FALSE)</f>
        <v>#N/A</v>
      </c>
      <c r="V333" s="3" t="e">
        <f>VLOOKUP(D333,LookupLists!$N$4:$T$60,5,FALSE)</f>
        <v>#N/A</v>
      </c>
    </row>
    <row r="334" spans="5:22" x14ac:dyDescent="0.3">
      <c r="E334" s="3" t="str">
        <f t="shared" si="5"/>
        <v/>
      </c>
      <c r="F334" s="3" t="str">
        <f xml:space="preserve"> IF(E334="","",  IFERROR(VLOOKUP(D334,LookupLists!$N$3:$T$60,6,FALSE)-LEN(E334),0))</f>
        <v/>
      </c>
      <c r="G334" s="3" t="str">
        <f>IF(E334="","",IFERROR(matches(E334,VLOOKUP(D334,LookupLists!$N$3:$T$60,7,FALSE)),FALSE))</f>
        <v/>
      </c>
      <c r="H334" s="3" t="e">
        <f>VLOOKUP(A334,LookupLists!$I$3:$L$60,1,FALSE)</f>
        <v>#N/A</v>
      </c>
      <c r="I334" s="3" t="e">
        <f>VLOOKUP(A334,LookupLists!$I$3:$L$60,2,FALSE)</f>
        <v>#N/A</v>
      </c>
      <c r="J334" s="3" t="e">
        <f>VLOOKUP(A334,LookupLists!$I$3:$L$60,3,FALSE)</f>
        <v>#N/A</v>
      </c>
      <c r="K334" s="3" t="e">
        <f>VLOOKUP(A334,LookupLists!$I$3:$L$60,4,FALSE)</f>
        <v>#N/A</v>
      </c>
      <c r="L334" s="3" t="e">
        <f>VLOOKUP(C334,LookupLists!$A$3:$G$60,1,FALSE)</f>
        <v>#N/A</v>
      </c>
      <c r="M334" s="3" t="e">
        <f>VLOOKUP(C334,LookupLists!$A$3:$G$60,4,FALSE)</f>
        <v>#N/A</v>
      </c>
      <c r="N334" s="3" t="e">
        <f>VLOOKUP(C334,LookupLists!$A$3:$G$60,2,FALSE)</f>
        <v>#N/A</v>
      </c>
      <c r="O334" s="3" t="e">
        <f>VLOOKUP(C334,LookupLists!$A$3:$G$60,3,FALSE)</f>
        <v>#N/A</v>
      </c>
      <c r="P334" s="3" t="e">
        <f>VLOOKUP(C334,LookupLists!$A$3:$G$60,5,FALSE)</f>
        <v>#N/A</v>
      </c>
      <c r="Q334" s="3" t="e">
        <f>VLOOKUP(C334,LookupLists!$A$3:$G$60,6,FALSE)</f>
        <v>#N/A</v>
      </c>
      <c r="R334" s="4" t="e">
        <f>VLOOKUP(C334,LookupLists!$A$3:$G$60,7,FALSE)</f>
        <v>#N/A</v>
      </c>
      <c r="S334" s="3" t="e">
        <f>VLOOKUP(D334,LookupLists!$N$4:$T$60,1,FALSE)</f>
        <v>#N/A</v>
      </c>
      <c r="T334" s="3" t="e">
        <f>VLOOKUP(D334,LookupLists!$N$4:$T$60,2,FALSE)</f>
        <v>#N/A</v>
      </c>
      <c r="U334" s="3" t="e">
        <f>VLOOKUP(D334,LookupLists!$N$4:$T$60,3,FALSE)</f>
        <v>#N/A</v>
      </c>
      <c r="V334" s="3" t="e">
        <f>VLOOKUP(D334,LookupLists!$N$4:$T$60,5,FALSE)</f>
        <v>#N/A</v>
      </c>
    </row>
    <row r="335" spans="5:22" x14ac:dyDescent="0.3">
      <c r="E335" s="3" t="str">
        <f t="shared" si="5"/>
        <v/>
      </c>
      <c r="F335" s="3" t="str">
        <f xml:space="preserve"> IF(E335="","",  IFERROR(VLOOKUP(D335,LookupLists!$N$3:$T$60,6,FALSE)-LEN(E335),0))</f>
        <v/>
      </c>
      <c r="G335" s="3" t="str">
        <f>IF(E335="","",IFERROR(matches(E335,VLOOKUP(D335,LookupLists!$N$3:$T$60,7,FALSE)),FALSE))</f>
        <v/>
      </c>
      <c r="H335" s="3" t="e">
        <f>VLOOKUP(A335,LookupLists!$I$3:$L$60,1,FALSE)</f>
        <v>#N/A</v>
      </c>
      <c r="I335" s="3" t="e">
        <f>VLOOKUP(A335,LookupLists!$I$3:$L$60,2,FALSE)</f>
        <v>#N/A</v>
      </c>
      <c r="J335" s="3" t="e">
        <f>VLOOKUP(A335,LookupLists!$I$3:$L$60,3,FALSE)</f>
        <v>#N/A</v>
      </c>
      <c r="K335" s="3" t="e">
        <f>VLOOKUP(A335,LookupLists!$I$3:$L$60,4,FALSE)</f>
        <v>#N/A</v>
      </c>
      <c r="L335" s="3" t="e">
        <f>VLOOKUP(C335,LookupLists!$A$3:$G$60,1,FALSE)</f>
        <v>#N/A</v>
      </c>
      <c r="M335" s="3" t="e">
        <f>VLOOKUP(C335,LookupLists!$A$3:$G$60,4,FALSE)</f>
        <v>#N/A</v>
      </c>
      <c r="N335" s="3" t="e">
        <f>VLOOKUP(C335,LookupLists!$A$3:$G$60,2,FALSE)</f>
        <v>#N/A</v>
      </c>
      <c r="O335" s="3" t="e">
        <f>VLOOKUP(C335,LookupLists!$A$3:$G$60,3,FALSE)</f>
        <v>#N/A</v>
      </c>
      <c r="P335" s="3" t="e">
        <f>VLOOKUP(C335,LookupLists!$A$3:$G$60,5,FALSE)</f>
        <v>#N/A</v>
      </c>
      <c r="Q335" s="3" t="e">
        <f>VLOOKUP(C335,LookupLists!$A$3:$G$60,6,FALSE)</f>
        <v>#N/A</v>
      </c>
      <c r="R335" s="4" t="e">
        <f>VLOOKUP(C335,LookupLists!$A$3:$G$60,7,FALSE)</f>
        <v>#N/A</v>
      </c>
      <c r="S335" s="3" t="e">
        <f>VLOOKUP(D335,LookupLists!$N$4:$T$60,1,FALSE)</f>
        <v>#N/A</v>
      </c>
      <c r="T335" s="3" t="e">
        <f>VLOOKUP(D335,LookupLists!$N$4:$T$60,2,FALSE)</f>
        <v>#N/A</v>
      </c>
      <c r="U335" s="3" t="e">
        <f>VLOOKUP(D335,LookupLists!$N$4:$T$60,3,FALSE)</f>
        <v>#N/A</v>
      </c>
      <c r="V335" s="3" t="e">
        <f>VLOOKUP(D335,LookupLists!$N$4:$T$60,5,FALSE)</f>
        <v>#N/A</v>
      </c>
    </row>
    <row r="336" spans="5:22" x14ac:dyDescent="0.3">
      <c r="E336" s="3" t="str">
        <f t="shared" si="5"/>
        <v/>
      </c>
      <c r="F336" s="3" t="str">
        <f xml:space="preserve"> IF(E336="","",  IFERROR(VLOOKUP(D336,LookupLists!$N$3:$T$60,6,FALSE)-LEN(E336),0))</f>
        <v/>
      </c>
      <c r="G336" s="3" t="str">
        <f>IF(E336="","",IFERROR(matches(E336,VLOOKUP(D336,LookupLists!$N$3:$T$60,7,FALSE)),FALSE))</f>
        <v/>
      </c>
      <c r="H336" s="3" t="e">
        <f>VLOOKUP(A336,LookupLists!$I$3:$L$60,1,FALSE)</f>
        <v>#N/A</v>
      </c>
      <c r="I336" s="3" t="e">
        <f>VLOOKUP(A336,LookupLists!$I$3:$L$60,2,FALSE)</f>
        <v>#N/A</v>
      </c>
      <c r="J336" s="3" t="e">
        <f>VLOOKUP(A336,LookupLists!$I$3:$L$60,3,FALSE)</f>
        <v>#N/A</v>
      </c>
      <c r="K336" s="3" t="e">
        <f>VLOOKUP(A336,LookupLists!$I$3:$L$60,4,FALSE)</f>
        <v>#N/A</v>
      </c>
      <c r="L336" s="3" t="e">
        <f>VLOOKUP(C336,LookupLists!$A$3:$G$60,1,FALSE)</f>
        <v>#N/A</v>
      </c>
      <c r="M336" s="3" t="e">
        <f>VLOOKUP(C336,LookupLists!$A$3:$G$60,4,FALSE)</f>
        <v>#N/A</v>
      </c>
      <c r="N336" s="3" t="e">
        <f>VLOOKUP(C336,LookupLists!$A$3:$G$60,2,FALSE)</f>
        <v>#N/A</v>
      </c>
      <c r="O336" s="3" t="e">
        <f>VLOOKUP(C336,LookupLists!$A$3:$G$60,3,FALSE)</f>
        <v>#N/A</v>
      </c>
      <c r="P336" s="3" t="e">
        <f>VLOOKUP(C336,LookupLists!$A$3:$G$60,5,FALSE)</f>
        <v>#N/A</v>
      </c>
      <c r="Q336" s="3" t="e">
        <f>VLOOKUP(C336,LookupLists!$A$3:$G$60,6,FALSE)</f>
        <v>#N/A</v>
      </c>
      <c r="R336" s="4" t="e">
        <f>VLOOKUP(C336,LookupLists!$A$3:$G$60,7,FALSE)</f>
        <v>#N/A</v>
      </c>
      <c r="S336" s="3" t="e">
        <f>VLOOKUP(D336,LookupLists!$N$4:$T$60,1,FALSE)</f>
        <v>#N/A</v>
      </c>
      <c r="T336" s="3" t="e">
        <f>VLOOKUP(D336,LookupLists!$N$4:$T$60,2,FALSE)</f>
        <v>#N/A</v>
      </c>
      <c r="U336" s="3" t="e">
        <f>VLOOKUP(D336,LookupLists!$N$4:$T$60,3,FALSE)</f>
        <v>#N/A</v>
      </c>
      <c r="V336" s="3" t="e">
        <f>VLOOKUP(D336,LookupLists!$N$4:$T$60,5,FALSE)</f>
        <v>#N/A</v>
      </c>
    </row>
    <row r="337" spans="5:22" x14ac:dyDescent="0.3">
      <c r="E337" s="3" t="str">
        <f t="shared" si="5"/>
        <v/>
      </c>
      <c r="F337" s="3" t="str">
        <f xml:space="preserve"> IF(E337="","",  IFERROR(VLOOKUP(D337,LookupLists!$N$3:$T$60,6,FALSE)-LEN(E337),0))</f>
        <v/>
      </c>
      <c r="G337" s="3" t="str">
        <f>IF(E337="","",IFERROR(matches(E337,VLOOKUP(D337,LookupLists!$N$3:$T$60,7,FALSE)),FALSE))</f>
        <v/>
      </c>
      <c r="H337" s="3" t="e">
        <f>VLOOKUP(A337,LookupLists!$I$3:$L$60,1,FALSE)</f>
        <v>#N/A</v>
      </c>
      <c r="I337" s="3" t="e">
        <f>VLOOKUP(A337,LookupLists!$I$3:$L$60,2,FALSE)</f>
        <v>#N/A</v>
      </c>
      <c r="J337" s="3" t="e">
        <f>VLOOKUP(A337,LookupLists!$I$3:$L$60,3,FALSE)</f>
        <v>#N/A</v>
      </c>
      <c r="K337" s="3" t="e">
        <f>VLOOKUP(A337,LookupLists!$I$3:$L$60,4,FALSE)</f>
        <v>#N/A</v>
      </c>
      <c r="L337" s="3" t="e">
        <f>VLOOKUP(C337,LookupLists!$A$3:$G$60,1,FALSE)</f>
        <v>#N/A</v>
      </c>
      <c r="M337" s="3" t="e">
        <f>VLOOKUP(C337,LookupLists!$A$3:$G$60,4,FALSE)</f>
        <v>#N/A</v>
      </c>
      <c r="N337" s="3" t="e">
        <f>VLOOKUP(C337,LookupLists!$A$3:$G$60,2,FALSE)</f>
        <v>#N/A</v>
      </c>
      <c r="O337" s="3" t="e">
        <f>VLOOKUP(C337,LookupLists!$A$3:$G$60,3,FALSE)</f>
        <v>#N/A</v>
      </c>
      <c r="P337" s="3" t="e">
        <f>VLOOKUP(C337,LookupLists!$A$3:$G$60,5,FALSE)</f>
        <v>#N/A</v>
      </c>
      <c r="Q337" s="3" t="e">
        <f>VLOOKUP(C337,LookupLists!$A$3:$G$60,6,FALSE)</f>
        <v>#N/A</v>
      </c>
      <c r="R337" s="4" t="e">
        <f>VLOOKUP(C337,LookupLists!$A$3:$G$60,7,FALSE)</f>
        <v>#N/A</v>
      </c>
      <c r="S337" s="3" t="e">
        <f>VLOOKUP(D337,LookupLists!$N$4:$T$60,1,FALSE)</f>
        <v>#N/A</v>
      </c>
      <c r="T337" s="3" t="e">
        <f>VLOOKUP(D337,LookupLists!$N$4:$T$60,2,FALSE)</f>
        <v>#N/A</v>
      </c>
      <c r="U337" s="3" t="e">
        <f>VLOOKUP(D337,LookupLists!$N$4:$T$60,3,FALSE)</f>
        <v>#N/A</v>
      </c>
      <c r="V337" s="3" t="e">
        <f>VLOOKUP(D337,LookupLists!$N$4:$T$60,5,FALSE)</f>
        <v>#N/A</v>
      </c>
    </row>
    <row r="338" spans="5:22" x14ac:dyDescent="0.3">
      <c r="E338" s="3" t="str">
        <f t="shared" si="5"/>
        <v/>
      </c>
      <c r="F338" s="3" t="str">
        <f xml:space="preserve"> IF(E338="","",  IFERROR(VLOOKUP(D338,LookupLists!$N$3:$T$60,6,FALSE)-LEN(E338),0))</f>
        <v/>
      </c>
      <c r="G338" s="3" t="str">
        <f>IF(E338="","",IFERROR(matches(E338,VLOOKUP(D338,LookupLists!$N$3:$T$60,7,FALSE)),FALSE))</f>
        <v/>
      </c>
      <c r="H338" s="3" t="e">
        <f>VLOOKUP(A338,LookupLists!$I$3:$L$60,1,FALSE)</f>
        <v>#N/A</v>
      </c>
      <c r="I338" s="3" t="e">
        <f>VLOOKUP(A338,LookupLists!$I$3:$L$60,2,FALSE)</f>
        <v>#N/A</v>
      </c>
      <c r="J338" s="3" t="e">
        <f>VLOOKUP(A338,LookupLists!$I$3:$L$60,3,FALSE)</f>
        <v>#N/A</v>
      </c>
      <c r="K338" s="3" t="e">
        <f>VLOOKUP(A338,LookupLists!$I$3:$L$60,4,FALSE)</f>
        <v>#N/A</v>
      </c>
      <c r="L338" s="3" t="e">
        <f>VLOOKUP(C338,LookupLists!$A$3:$G$60,1,FALSE)</f>
        <v>#N/A</v>
      </c>
      <c r="M338" s="3" t="e">
        <f>VLOOKUP(C338,LookupLists!$A$3:$G$60,4,FALSE)</f>
        <v>#N/A</v>
      </c>
      <c r="N338" s="3" t="e">
        <f>VLOOKUP(C338,LookupLists!$A$3:$G$60,2,FALSE)</f>
        <v>#N/A</v>
      </c>
      <c r="O338" s="3" t="e">
        <f>VLOOKUP(C338,LookupLists!$A$3:$G$60,3,FALSE)</f>
        <v>#N/A</v>
      </c>
      <c r="P338" s="3" t="e">
        <f>VLOOKUP(C338,LookupLists!$A$3:$G$60,5,FALSE)</f>
        <v>#N/A</v>
      </c>
      <c r="Q338" s="3" t="e">
        <f>VLOOKUP(C338,LookupLists!$A$3:$G$60,6,FALSE)</f>
        <v>#N/A</v>
      </c>
      <c r="R338" s="4" t="e">
        <f>VLOOKUP(C338,LookupLists!$A$3:$G$60,7,FALSE)</f>
        <v>#N/A</v>
      </c>
      <c r="S338" s="3" t="e">
        <f>VLOOKUP(D338,LookupLists!$N$4:$T$60,1,FALSE)</f>
        <v>#N/A</v>
      </c>
      <c r="T338" s="3" t="e">
        <f>VLOOKUP(D338,LookupLists!$N$4:$T$60,2,FALSE)</f>
        <v>#N/A</v>
      </c>
      <c r="U338" s="3" t="e">
        <f>VLOOKUP(D338,LookupLists!$N$4:$T$60,3,FALSE)</f>
        <v>#N/A</v>
      </c>
      <c r="V338" s="3" t="e">
        <f>VLOOKUP(D338,LookupLists!$N$4:$T$60,5,FALSE)</f>
        <v>#N/A</v>
      </c>
    </row>
    <row r="339" spans="5:22" x14ac:dyDescent="0.3">
      <c r="E339" s="3" t="str">
        <f t="shared" si="5"/>
        <v/>
      </c>
      <c r="F339" s="3" t="str">
        <f xml:space="preserve"> IF(E339="","",  IFERROR(VLOOKUP(D339,LookupLists!$N$3:$T$60,6,FALSE)-LEN(E339),0))</f>
        <v/>
      </c>
      <c r="G339" s="3" t="str">
        <f>IF(E339="","",IFERROR(matches(E339,VLOOKUP(D339,LookupLists!$N$3:$T$60,7,FALSE)),FALSE))</f>
        <v/>
      </c>
      <c r="H339" s="3" t="e">
        <f>VLOOKUP(A339,LookupLists!$I$3:$L$60,1,FALSE)</f>
        <v>#N/A</v>
      </c>
      <c r="I339" s="3" t="e">
        <f>VLOOKUP(A339,LookupLists!$I$3:$L$60,2,FALSE)</f>
        <v>#N/A</v>
      </c>
      <c r="J339" s="3" t="e">
        <f>VLOOKUP(A339,LookupLists!$I$3:$L$60,3,FALSE)</f>
        <v>#N/A</v>
      </c>
      <c r="K339" s="3" t="e">
        <f>VLOOKUP(A339,LookupLists!$I$3:$L$60,4,FALSE)</f>
        <v>#N/A</v>
      </c>
      <c r="L339" s="3" t="e">
        <f>VLOOKUP(C339,LookupLists!$A$3:$G$60,1,FALSE)</f>
        <v>#N/A</v>
      </c>
      <c r="M339" s="3" t="e">
        <f>VLOOKUP(C339,LookupLists!$A$3:$G$60,4,FALSE)</f>
        <v>#N/A</v>
      </c>
      <c r="N339" s="3" t="e">
        <f>VLOOKUP(C339,LookupLists!$A$3:$G$60,2,FALSE)</f>
        <v>#N/A</v>
      </c>
      <c r="O339" s="3" t="e">
        <f>VLOOKUP(C339,LookupLists!$A$3:$G$60,3,FALSE)</f>
        <v>#N/A</v>
      </c>
      <c r="P339" s="3" t="e">
        <f>VLOOKUP(C339,LookupLists!$A$3:$G$60,5,FALSE)</f>
        <v>#N/A</v>
      </c>
      <c r="Q339" s="3" t="e">
        <f>VLOOKUP(C339,LookupLists!$A$3:$G$60,6,FALSE)</f>
        <v>#N/A</v>
      </c>
      <c r="R339" s="4" t="e">
        <f>VLOOKUP(C339,LookupLists!$A$3:$G$60,7,FALSE)</f>
        <v>#N/A</v>
      </c>
      <c r="S339" s="3" t="e">
        <f>VLOOKUP(D339,LookupLists!$N$4:$T$60,1,FALSE)</f>
        <v>#N/A</v>
      </c>
      <c r="T339" s="3" t="e">
        <f>VLOOKUP(D339,LookupLists!$N$4:$T$60,2,FALSE)</f>
        <v>#N/A</v>
      </c>
      <c r="U339" s="3" t="e">
        <f>VLOOKUP(D339,LookupLists!$N$4:$T$60,3,FALSE)</f>
        <v>#N/A</v>
      </c>
      <c r="V339" s="3" t="e">
        <f>VLOOKUP(D339,LookupLists!$N$4:$T$60,5,FALSE)</f>
        <v>#N/A</v>
      </c>
    </row>
    <row r="340" spans="5:22" x14ac:dyDescent="0.3">
      <c r="E340" s="3" t="str">
        <f t="shared" si="5"/>
        <v/>
      </c>
      <c r="F340" s="3" t="str">
        <f xml:space="preserve"> IF(E340="","",  IFERROR(VLOOKUP(D340,LookupLists!$N$3:$T$60,6,FALSE)-LEN(E340),0))</f>
        <v/>
      </c>
      <c r="G340" s="3" t="str">
        <f>IF(E340="","",IFERROR(matches(E340,VLOOKUP(D340,LookupLists!$N$3:$T$60,7,FALSE)),FALSE))</f>
        <v/>
      </c>
      <c r="H340" s="3" t="e">
        <f>VLOOKUP(A340,LookupLists!$I$3:$L$60,1,FALSE)</f>
        <v>#N/A</v>
      </c>
      <c r="I340" s="3" t="e">
        <f>VLOOKUP(A340,LookupLists!$I$3:$L$60,2,FALSE)</f>
        <v>#N/A</v>
      </c>
      <c r="J340" s="3" t="e">
        <f>VLOOKUP(A340,LookupLists!$I$3:$L$60,3,FALSE)</f>
        <v>#N/A</v>
      </c>
      <c r="K340" s="3" t="e">
        <f>VLOOKUP(A340,LookupLists!$I$3:$L$60,4,FALSE)</f>
        <v>#N/A</v>
      </c>
      <c r="L340" s="3" t="e">
        <f>VLOOKUP(C340,LookupLists!$A$3:$G$60,1,FALSE)</f>
        <v>#N/A</v>
      </c>
      <c r="M340" s="3" t="e">
        <f>VLOOKUP(C340,LookupLists!$A$3:$G$60,4,FALSE)</f>
        <v>#N/A</v>
      </c>
      <c r="N340" s="3" t="e">
        <f>VLOOKUP(C340,LookupLists!$A$3:$G$60,2,FALSE)</f>
        <v>#N/A</v>
      </c>
      <c r="O340" s="3" t="e">
        <f>VLOOKUP(C340,LookupLists!$A$3:$G$60,3,FALSE)</f>
        <v>#N/A</v>
      </c>
      <c r="P340" s="3" t="e">
        <f>VLOOKUP(C340,LookupLists!$A$3:$G$60,5,FALSE)</f>
        <v>#N/A</v>
      </c>
      <c r="Q340" s="3" t="e">
        <f>VLOOKUP(C340,LookupLists!$A$3:$G$60,6,FALSE)</f>
        <v>#N/A</v>
      </c>
      <c r="R340" s="4" t="e">
        <f>VLOOKUP(C340,LookupLists!$A$3:$G$60,7,FALSE)</f>
        <v>#N/A</v>
      </c>
      <c r="S340" s="3" t="e">
        <f>VLOOKUP(D340,LookupLists!$N$4:$T$60,1,FALSE)</f>
        <v>#N/A</v>
      </c>
      <c r="T340" s="3" t="e">
        <f>VLOOKUP(D340,LookupLists!$N$4:$T$60,2,FALSE)</f>
        <v>#N/A</v>
      </c>
      <c r="U340" s="3" t="e">
        <f>VLOOKUP(D340,LookupLists!$N$4:$T$60,3,FALSE)</f>
        <v>#N/A</v>
      </c>
      <c r="V340" s="3" t="e">
        <f>VLOOKUP(D340,LookupLists!$N$4:$T$60,5,FALSE)</f>
        <v>#N/A</v>
      </c>
    </row>
    <row r="341" spans="5:22" x14ac:dyDescent="0.3">
      <c r="E341" s="3" t="str">
        <f t="shared" si="5"/>
        <v/>
      </c>
      <c r="F341" s="3" t="str">
        <f xml:space="preserve"> IF(E341="","",  IFERROR(VLOOKUP(D341,LookupLists!$N$3:$T$60,6,FALSE)-LEN(E341),0))</f>
        <v/>
      </c>
      <c r="G341" s="3" t="str">
        <f>IF(E341="","",IFERROR(matches(E341,VLOOKUP(D341,LookupLists!$N$3:$T$60,7,FALSE)),FALSE))</f>
        <v/>
      </c>
      <c r="H341" s="3" t="e">
        <f>VLOOKUP(A341,LookupLists!$I$3:$L$60,1,FALSE)</f>
        <v>#N/A</v>
      </c>
      <c r="I341" s="3" t="e">
        <f>VLOOKUP(A341,LookupLists!$I$3:$L$60,2,FALSE)</f>
        <v>#N/A</v>
      </c>
      <c r="J341" s="3" t="e">
        <f>VLOOKUP(A341,LookupLists!$I$3:$L$60,3,FALSE)</f>
        <v>#N/A</v>
      </c>
      <c r="K341" s="3" t="e">
        <f>VLOOKUP(A341,LookupLists!$I$3:$L$60,4,FALSE)</f>
        <v>#N/A</v>
      </c>
      <c r="L341" s="3" t="e">
        <f>VLOOKUP(C341,LookupLists!$A$3:$G$60,1,FALSE)</f>
        <v>#N/A</v>
      </c>
      <c r="M341" s="3" t="e">
        <f>VLOOKUP(C341,LookupLists!$A$3:$G$60,4,FALSE)</f>
        <v>#N/A</v>
      </c>
      <c r="N341" s="3" t="e">
        <f>VLOOKUP(C341,LookupLists!$A$3:$G$60,2,FALSE)</f>
        <v>#N/A</v>
      </c>
      <c r="O341" s="3" t="e">
        <f>VLOOKUP(C341,LookupLists!$A$3:$G$60,3,FALSE)</f>
        <v>#N/A</v>
      </c>
      <c r="P341" s="3" t="e">
        <f>VLOOKUP(C341,LookupLists!$A$3:$G$60,5,FALSE)</f>
        <v>#N/A</v>
      </c>
      <c r="Q341" s="3" t="e">
        <f>VLOOKUP(C341,LookupLists!$A$3:$G$60,6,FALSE)</f>
        <v>#N/A</v>
      </c>
      <c r="R341" s="4" t="e">
        <f>VLOOKUP(C341,LookupLists!$A$3:$G$60,7,FALSE)</f>
        <v>#N/A</v>
      </c>
      <c r="S341" s="3" t="e">
        <f>VLOOKUP(D341,LookupLists!$N$4:$T$60,1,FALSE)</f>
        <v>#N/A</v>
      </c>
      <c r="T341" s="3" t="e">
        <f>VLOOKUP(D341,LookupLists!$N$4:$T$60,2,FALSE)</f>
        <v>#N/A</v>
      </c>
      <c r="U341" s="3" t="e">
        <f>VLOOKUP(D341,LookupLists!$N$4:$T$60,3,FALSE)</f>
        <v>#N/A</v>
      </c>
      <c r="V341" s="3" t="e">
        <f>VLOOKUP(D341,LookupLists!$N$4:$T$60,5,FALSE)</f>
        <v>#N/A</v>
      </c>
    </row>
    <row r="342" spans="5:22" x14ac:dyDescent="0.3">
      <c r="E342" s="3" t="str">
        <f t="shared" si="5"/>
        <v/>
      </c>
      <c r="F342" s="3" t="str">
        <f xml:space="preserve"> IF(E342="","",  IFERROR(VLOOKUP(D342,LookupLists!$N$3:$T$60,6,FALSE)-LEN(E342),0))</f>
        <v/>
      </c>
      <c r="G342" s="3" t="str">
        <f>IF(E342="","",IFERROR(matches(E342,VLOOKUP(D342,LookupLists!$N$3:$T$60,7,FALSE)),FALSE))</f>
        <v/>
      </c>
      <c r="H342" s="3" t="e">
        <f>VLOOKUP(A342,LookupLists!$I$3:$L$60,1,FALSE)</f>
        <v>#N/A</v>
      </c>
      <c r="I342" s="3" t="e">
        <f>VLOOKUP(A342,LookupLists!$I$3:$L$60,2,FALSE)</f>
        <v>#N/A</v>
      </c>
      <c r="J342" s="3" t="e">
        <f>VLOOKUP(A342,LookupLists!$I$3:$L$60,3,FALSE)</f>
        <v>#N/A</v>
      </c>
      <c r="K342" s="3" t="e">
        <f>VLOOKUP(A342,LookupLists!$I$3:$L$60,4,FALSE)</f>
        <v>#N/A</v>
      </c>
      <c r="L342" s="3" t="e">
        <f>VLOOKUP(C342,LookupLists!$A$3:$G$60,1,FALSE)</f>
        <v>#N/A</v>
      </c>
      <c r="M342" s="3" t="e">
        <f>VLOOKUP(C342,LookupLists!$A$3:$G$60,4,FALSE)</f>
        <v>#N/A</v>
      </c>
      <c r="N342" s="3" t="e">
        <f>VLOOKUP(C342,LookupLists!$A$3:$G$60,2,FALSE)</f>
        <v>#N/A</v>
      </c>
      <c r="O342" s="3" t="e">
        <f>VLOOKUP(C342,LookupLists!$A$3:$G$60,3,FALSE)</f>
        <v>#N/A</v>
      </c>
      <c r="P342" s="3" t="e">
        <f>VLOOKUP(C342,LookupLists!$A$3:$G$60,5,FALSE)</f>
        <v>#N/A</v>
      </c>
      <c r="Q342" s="3" t="e">
        <f>VLOOKUP(C342,LookupLists!$A$3:$G$60,6,FALSE)</f>
        <v>#N/A</v>
      </c>
      <c r="R342" s="4" t="e">
        <f>VLOOKUP(C342,LookupLists!$A$3:$G$60,7,FALSE)</f>
        <v>#N/A</v>
      </c>
      <c r="S342" s="3" t="e">
        <f>VLOOKUP(D342,LookupLists!$N$4:$T$60,1,FALSE)</f>
        <v>#N/A</v>
      </c>
      <c r="T342" s="3" t="e">
        <f>VLOOKUP(D342,LookupLists!$N$4:$T$60,2,FALSE)</f>
        <v>#N/A</v>
      </c>
      <c r="U342" s="3" t="e">
        <f>VLOOKUP(D342,LookupLists!$N$4:$T$60,3,FALSE)</f>
        <v>#N/A</v>
      </c>
      <c r="V342" s="3" t="e">
        <f>VLOOKUP(D342,LookupLists!$N$4:$T$60,5,FALSE)</f>
        <v>#N/A</v>
      </c>
    </row>
    <row r="343" spans="5:22" x14ac:dyDescent="0.3">
      <c r="E343" s="3" t="str">
        <f t="shared" si="5"/>
        <v/>
      </c>
      <c r="F343" s="3" t="str">
        <f xml:space="preserve"> IF(E343="","",  IFERROR(VLOOKUP(D343,LookupLists!$N$3:$T$60,6,FALSE)-LEN(E343),0))</f>
        <v/>
      </c>
      <c r="G343" s="3" t="str">
        <f>IF(E343="","",IFERROR(matches(E343,VLOOKUP(D343,LookupLists!$N$3:$T$60,7,FALSE)),FALSE))</f>
        <v/>
      </c>
      <c r="H343" s="3" t="e">
        <f>VLOOKUP(A343,LookupLists!$I$3:$L$60,1,FALSE)</f>
        <v>#N/A</v>
      </c>
      <c r="I343" s="3" t="e">
        <f>VLOOKUP(A343,LookupLists!$I$3:$L$60,2,FALSE)</f>
        <v>#N/A</v>
      </c>
      <c r="J343" s="3" t="e">
        <f>VLOOKUP(A343,LookupLists!$I$3:$L$60,3,FALSE)</f>
        <v>#N/A</v>
      </c>
      <c r="K343" s="3" t="e">
        <f>VLOOKUP(A343,LookupLists!$I$3:$L$60,4,FALSE)</f>
        <v>#N/A</v>
      </c>
      <c r="L343" s="3" t="e">
        <f>VLOOKUP(C343,LookupLists!$A$3:$G$60,1,FALSE)</f>
        <v>#N/A</v>
      </c>
      <c r="M343" s="3" t="e">
        <f>VLOOKUP(C343,LookupLists!$A$3:$G$60,4,FALSE)</f>
        <v>#N/A</v>
      </c>
      <c r="N343" s="3" t="e">
        <f>VLOOKUP(C343,LookupLists!$A$3:$G$60,2,FALSE)</f>
        <v>#N/A</v>
      </c>
      <c r="O343" s="3" t="e">
        <f>VLOOKUP(C343,LookupLists!$A$3:$G$60,3,FALSE)</f>
        <v>#N/A</v>
      </c>
      <c r="P343" s="3" t="e">
        <f>VLOOKUP(C343,LookupLists!$A$3:$G$60,5,FALSE)</f>
        <v>#N/A</v>
      </c>
      <c r="Q343" s="3" t="e">
        <f>VLOOKUP(C343,LookupLists!$A$3:$G$60,6,FALSE)</f>
        <v>#N/A</v>
      </c>
      <c r="R343" s="4" t="e">
        <f>VLOOKUP(C343,LookupLists!$A$3:$G$60,7,FALSE)</f>
        <v>#N/A</v>
      </c>
      <c r="S343" s="3" t="e">
        <f>VLOOKUP(D343,LookupLists!$N$4:$T$60,1,FALSE)</f>
        <v>#N/A</v>
      </c>
      <c r="T343" s="3" t="e">
        <f>VLOOKUP(D343,LookupLists!$N$4:$T$60,2,FALSE)</f>
        <v>#N/A</v>
      </c>
      <c r="U343" s="3" t="e">
        <f>VLOOKUP(D343,LookupLists!$N$4:$T$60,3,FALSE)</f>
        <v>#N/A</v>
      </c>
      <c r="V343" s="3" t="e">
        <f>VLOOKUP(D343,LookupLists!$N$4:$T$60,5,FALSE)</f>
        <v>#N/A</v>
      </c>
    </row>
    <row r="344" spans="5:22" x14ac:dyDescent="0.3">
      <c r="E344" s="3" t="str">
        <f t="shared" si="5"/>
        <v/>
      </c>
      <c r="F344" s="3" t="str">
        <f xml:space="preserve"> IF(E344="","",  IFERROR(VLOOKUP(D344,LookupLists!$N$3:$T$60,6,FALSE)-LEN(E344),0))</f>
        <v/>
      </c>
      <c r="G344" s="3" t="str">
        <f>IF(E344="","",IFERROR(matches(E344,VLOOKUP(D344,LookupLists!$N$3:$T$60,7,FALSE)),FALSE))</f>
        <v/>
      </c>
      <c r="H344" s="3" t="e">
        <f>VLOOKUP(A344,LookupLists!$I$3:$L$60,1,FALSE)</f>
        <v>#N/A</v>
      </c>
      <c r="I344" s="3" t="e">
        <f>VLOOKUP(A344,LookupLists!$I$3:$L$60,2,FALSE)</f>
        <v>#N/A</v>
      </c>
      <c r="J344" s="3" t="e">
        <f>VLOOKUP(A344,LookupLists!$I$3:$L$60,3,FALSE)</f>
        <v>#N/A</v>
      </c>
      <c r="K344" s="3" t="e">
        <f>VLOOKUP(A344,LookupLists!$I$3:$L$60,4,FALSE)</f>
        <v>#N/A</v>
      </c>
      <c r="L344" s="3" t="e">
        <f>VLOOKUP(C344,LookupLists!$A$3:$G$60,1,FALSE)</f>
        <v>#N/A</v>
      </c>
      <c r="M344" s="3" t="e">
        <f>VLOOKUP(C344,LookupLists!$A$3:$G$60,4,FALSE)</f>
        <v>#N/A</v>
      </c>
      <c r="N344" s="3" t="e">
        <f>VLOOKUP(C344,LookupLists!$A$3:$G$60,2,FALSE)</f>
        <v>#N/A</v>
      </c>
      <c r="O344" s="3" t="e">
        <f>VLOOKUP(C344,LookupLists!$A$3:$G$60,3,FALSE)</f>
        <v>#N/A</v>
      </c>
      <c r="P344" s="3" t="e">
        <f>VLOOKUP(C344,LookupLists!$A$3:$G$60,5,FALSE)</f>
        <v>#N/A</v>
      </c>
      <c r="Q344" s="3" t="e">
        <f>VLOOKUP(C344,LookupLists!$A$3:$G$60,6,FALSE)</f>
        <v>#N/A</v>
      </c>
      <c r="R344" s="4" t="e">
        <f>VLOOKUP(C344,LookupLists!$A$3:$G$60,7,FALSE)</f>
        <v>#N/A</v>
      </c>
      <c r="S344" s="3" t="e">
        <f>VLOOKUP(D344,LookupLists!$N$4:$T$60,1,FALSE)</f>
        <v>#N/A</v>
      </c>
      <c r="T344" s="3" t="e">
        <f>VLOOKUP(D344,LookupLists!$N$4:$T$60,2,FALSE)</f>
        <v>#N/A</v>
      </c>
      <c r="U344" s="3" t="e">
        <f>VLOOKUP(D344,LookupLists!$N$4:$T$60,3,FALSE)</f>
        <v>#N/A</v>
      </c>
      <c r="V344" s="3" t="e">
        <f>VLOOKUP(D344,LookupLists!$N$4:$T$60,5,FALSE)</f>
        <v>#N/A</v>
      </c>
    </row>
    <row r="345" spans="5:22" x14ac:dyDescent="0.3">
      <c r="E345" s="3" t="str">
        <f t="shared" si="5"/>
        <v/>
      </c>
      <c r="F345" s="3" t="str">
        <f xml:space="preserve"> IF(E345="","",  IFERROR(VLOOKUP(D345,LookupLists!$N$3:$T$60,6,FALSE)-LEN(E345),0))</f>
        <v/>
      </c>
      <c r="G345" s="3" t="str">
        <f>IF(E345="","",IFERROR(matches(E345,VLOOKUP(D345,LookupLists!$N$3:$T$60,7,FALSE)),FALSE))</f>
        <v/>
      </c>
      <c r="H345" s="3" t="e">
        <f>VLOOKUP(A345,LookupLists!$I$3:$L$60,1,FALSE)</f>
        <v>#N/A</v>
      </c>
      <c r="I345" s="3" t="e">
        <f>VLOOKUP(A345,LookupLists!$I$3:$L$60,2,FALSE)</f>
        <v>#N/A</v>
      </c>
      <c r="J345" s="3" t="e">
        <f>VLOOKUP(A345,LookupLists!$I$3:$L$60,3,FALSE)</f>
        <v>#N/A</v>
      </c>
      <c r="K345" s="3" t="e">
        <f>VLOOKUP(A345,LookupLists!$I$3:$L$60,4,FALSE)</f>
        <v>#N/A</v>
      </c>
      <c r="L345" s="3" t="e">
        <f>VLOOKUP(C345,LookupLists!$A$3:$G$60,1,FALSE)</f>
        <v>#N/A</v>
      </c>
      <c r="M345" s="3" t="e">
        <f>VLOOKUP(C345,LookupLists!$A$3:$G$60,4,FALSE)</f>
        <v>#N/A</v>
      </c>
      <c r="N345" s="3" t="e">
        <f>VLOOKUP(C345,LookupLists!$A$3:$G$60,2,FALSE)</f>
        <v>#N/A</v>
      </c>
      <c r="O345" s="3" t="e">
        <f>VLOOKUP(C345,LookupLists!$A$3:$G$60,3,FALSE)</f>
        <v>#N/A</v>
      </c>
      <c r="P345" s="3" t="e">
        <f>VLOOKUP(C345,LookupLists!$A$3:$G$60,5,FALSE)</f>
        <v>#N/A</v>
      </c>
      <c r="Q345" s="3" t="e">
        <f>VLOOKUP(C345,LookupLists!$A$3:$G$60,6,FALSE)</f>
        <v>#N/A</v>
      </c>
      <c r="R345" s="4" t="e">
        <f>VLOOKUP(C345,LookupLists!$A$3:$G$60,7,FALSE)</f>
        <v>#N/A</v>
      </c>
      <c r="S345" s="3" t="e">
        <f>VLOOKUP(D345,LookupLists!$N$4:$T$60,1,FALSE)</f>
        <v>#N/A</v>
      </c>
      <c r="T345" s="3" t="e">
        <f>VLOOKUP(D345,LookupLists!$N$4:$T$60,2,FALSE)</f>
        <v>#N/A</v>
      </c>
      <c r="U345" s="3" t="e">
        <f>VLOOKUP(D345,LookupLists!$N$4:$T$60,3,FALSE)</f>
        <v>#N/A</v>
      </c>
      <c r="V345" s="3" t="e">
        <f>VLOOKUP(D345,LookupLists!$N$4:$T$60,5,FALSE)</f>
        <v>#N/A</v>
      </c>
    </row>
    <row r="346" spans="5:22" x14ac:dyDescent="0.3">
      <c r="E346" s="3" t="str">
        <f t="shared" si="5"/>
        <v/>
      </c>
      <c r="F346" s="3" t="str">
        <f xml:space="preserve"> IF(E346="","",  IFERROR(VLOOKUP(D346,LookupLists!$N$3:$T$60,6,FALSE)-LEN(E346),0))</f>
        <v/>
      </c>
      <c r="G346" s="3" t="str">
        <f>IF(E346="","",IFERROR(matches(E346,VLOOKUP(D346,LookupLists!$N$3:$T$60,7,FALSE)),FALSE))</f>
        <v/>
      </c>
      <c r="H346" s="3" t="e">
        <f>VLOOKUP(A346,LookupLists!$I$3:$L$60,1,FALSE)</f>
        <v>#N/A</v>
      </c>
      <c r="I346" s="3" t="e">
        <f>VLOOKUP(A346,LookupLists!$I$3:$L$60,2,FALSE)</f>
        <v>#N/A</v>
      </c>
      <c r="J346" s="3" t="e">
        <f>VLOOKUP(A346,LookupLists!$I$3:$L$60,3,FALSE)</f>
        <v>#N/A</v>
      </c>
      <c r="K346" s="3" t="e">
        <f>VLOOKUP(A346,LookupLists!$I$3:$L$60,4,FALSE)</f>
        <v>#N/A</v>
      </c>
      <c r="L346" s="3" t="e">
        <f>VLOOKUP(C346,LookupLists!$A$3:$G$60,1,FALSE)</f>
        <v>#N/A</v>
      </c>
      <c r="M346" s="3" t="e">
        <f>VLOOKUP(C346,LookupLists!$A$3:$G$60,4,FALSE)</f>
        <v>#N/A</v>
      </c>
      <c r="N346" s="3" t="e">
        <f>VLOOKUP(C346,LookupLists!$A$3:$G$60,2,FALSE)</f>
        <v>#N/A</v>
      </c>
      <c r="O346" s="3" t="e">
        <f>VLOOKUP(C346,LookupLists!$A$3:$G$60,3,FALSE)</f>
        <v>#N/A</v>
      </c>
      <c r="P346" s="3" t="e">
        <f>VLOOKUP(C346,LookupLists!$A$3:$G$60,5,FALSE)</f>
        <v>#N/A</v>
      </c>
      <c r="Q346" s="3" t="e">
        <f>VLOOKUP(C346,LookupLists!$A$3:$G$60,6,FALSE)</f>
        <v>#N/A</v>
      </c>
      <c r="R346" s="4" t="e">
        <f>VLOOKUP(C346,LookupLists!$A$3:$G$60,7,FALSE)</f>
        <v>#N/A</v>
      </c>
      <c r="S346" s="3" t="e">
        <f>VLOOKUP(D346,LookupLists!$N$4:$T$60,1,FALSE)</f>
        <v>#N/A</v>
      </c>
      <c r="T346" s="3" t="e">
        <f>VLOOKUP(D346,LookupLists!$N$4:$T$60,2,FALSE)</f>
        <v>#N/A</v>
      </c>
      <c r="U346" s="3" t="e">
        <f>VLOOKUP(D346,LookupLists!$N$4:$T$60,3,FALSE)</f>
        <v>#N/A</v>
      </c>
      <c r="V346" s="3" t="e">
        <f>VLOOKUP(D346,LookupLists!$N$4:$T$60,5,FALSE)</f>
        <v>#N/A</v>
      </c>
    </row>
    <row r="347" spans="5:22" x14ac:dyDescent="0.3">
      <c r="E347" s="3" t="str">
        <f t="shared" si="5"/>
        <v/>
      </c>
      <c r="F347" s="3" t="str">
        <f xml:space="preserve"> IF(E347="","",  IFERROR(VLOOKUP(D347,LookupLists!$N$3:$T$60,6,FALSE)-LEN(E347),0))</f>
        <v/>
      </c>
      <c r="G347" s="3" t="str">
        <f>IF(E347="","",IFERROR(matches(E347,VLOOKUP(D347,LookupLists!$N$3:$T$60,7,FALSE)),FALSE))</f>
        <v/>
      </c>
      <c r="H347" s="3" t="e">
        <f>VLOOKUP(A347,LookupLists!$I$3:$L$60,1,FALSE)</f>
        <v>#N/A</v>
      </c>
      <c r="I347" s="3" t="e">
        <f>VLOOKUP(A347,LookupLists!$I$3:$L$60,2,FALSE)</f>
        <v>#N/A</v>
      </c>
      <c r="J347" s="3" t="e">
        <f>VLOOKUP(A347,LookupLists!$I$3:$L$60,3,FALSE)</f>
        <v>#N/A</v>
      </c>
      <c r="K347" s="3" t="e">
        <f>VLOOKUP(A347,LookupLists!$I$3:$L$60,4,FALSE)</f>
        <v>#N/A</v>
      </c>
      <c r="L347" s="3" t="e">
        <f>VLOOKUP(C347,LookupLists!$A$3:$G$60,1,FALSE)</f>
        <v>#N/A</v>
      </c>
      <c r="M347" s="3" t="e">
        <f>VLOOKUP(C347,LookupLists!$A$3:$G$60,4,FALSE)</f>
        <v>#N/A</v>
      </c>
      <c r="N347" s="3" t="e">
        <f>VLOOKUP(C347,LookupLists!$A$3:$G$60,2,FALSE)</f>
        <v>#N/A</v>
      </c>
      <c r="O347" s="3" t="e">
        <f>VLOOKUP(C347,LookupLists!$A$3:$G$60,3,FALSE)</f>
        <v>#N/A</v>
      </c>
      <c r="P347" s="3" t="e">
        <f>VLOOKUP(C347,LookupLists!$A$3:$G$60,5,FALSE)</f>
        <v>#N/A</v>
      </c>
      <c r="Q347" s="3" t="e">
        <f>VLOOKUP(C347,LookupLists!$A$3:$G$60,6,FALSE)</f>
        <v>#N/A</v>
      </c>
      <c r="R347" s="4" t="e">
        <f>VLOOKUP(C347,LookupLists!$A$3:$G$60,7,FALSE)</f>
        <v>#N/A</v>
      </c>
      <c r="S347" s="3" t="e">
        <f>VLOOKUP(D347,LookupLists!$N$4:$T$60,1,FALSE)</f>
        <v>#N/A</v>
      </c>
      <c r="T347" s="3" t="e">
        <f>VLOOKUP(D347,LookupLists!$N$4:$T$60,2,FALSE)</f>
        <v>#N/A</v>
      </c>
      <c r="U347" s="3" t="e">
        <f>VLOOKUP(D347,LookupLists!$N$4:$T$60,3,FALSE)</f>
        <v>#N/A</v>
      </c>
      <c r="V347" s="3" t="e">
        <f>VLOOKUP(D347,LookupLists!$N$4:$T$60,5,FALSE)</f>
        <v>#N/A</v>
      </c>
    </row>
    <row r="348" spans="5:22" x14ac:dyDescent="0.3">
      <c r="E348" s="3" t="str">
        <f t="shared" si="5"/>
        <v/>
      </c>
      <c r="F348" s="3" t="str">
        <f xml:space="preserve"> IF(E348="","",  IFERROR(VLOOKUP(D348,LookupLists!$N$3:$T$60,6,FALSE)-LEN(E348),0))</f>
        <v/>
      </c>
      <c r="G348" s="3" t="str">
        <f>IF(E348="","",IFERROR(matches(E348,VLOOKUP(D348,LookupLists!$N$3:$T$60,7,FALSE)),FALSE))</f>
        <v/>
      </c>
      <c r="H348" s="3" t="e">
        <f>VLOOKUP(A348,LookupLists!$I$3:$L$60,1,FALSE)</f>
        <v>#N/A</v>
      </c>
      <c r="I348" s="3" t="e">
        <f>VLOOKUP(A348,LookupLists!$I$3:$L$60,2,FALSE)</f>
        <v>#N/A</v>
      </c>
      <c r="J348" s="3" t="e">
        <f>VLOOKUP(A348,LookupLists!$I$3:$L$60,3,FALSE)</f>
        <v>#N/A</v>
      </c>
      <c r="K348" s="3" t="e">
        <f>VLOOKUP(A348,LookupLists!$I$3:$L$60,4,FALSE)</f>
        <v>#N/A</v>
      </c>
      <c r="L348" s="3" t="e">
        <f>VLOOKUP(C348,LookupLists!$A$3:$G$60,1,FALSE)</f>
        <v>#N/A</v>
      </c>
      <c r="M348" s="3" t="e">
        <f>VLOOKUP(C348,LookupLists!$A$3:$G$60,4,FALSE)</f>
        <v>#N/A</v>
      </c>
      <c r="N348" s="3" t="e">
        <f>VLOOKUP(C348,LookupLists!$A$3:$G$60,2,FALSE)</f>
        <v>#N/A</v>
      </c>
      <c r="O348" s="3" t="e">
        <f>VLOOKUP(C348,LookupLists!$A$3:$G$60,3,FALSE)</f>
        <v>#N/A</v>
      </c>
      <c r="P348" s="3" t="e">
        <f>VLOOKUP(C348,LookupLists!$A$3:$G$60,5,FALSE)</f>
        <v>#N/A</v>
      </c>
      <c r="Q348" s="3" t="e">
        <f>VLOOKUP(C348,LookupLists!$A$3:$G$60,6,FALSE)</f>
        <v>#N/A</v>
      </c>
      <c r="R348" s="4" t="e">
        <f>VLOOKUP(C348,LookupLists!$A$3:$G$60,7,FALSE)</f>
        <v>#N/A</v>
      </c>
      <c r="S348" s="3" t="e">
        <f>VLOOKUP(D348,LookupLists!$N$4:$T$60,1,FALSE)</f>
        <v>#N/A</v>
      </c>
      <c r="T348" s="3" t="e">
        <f>VLOOKUP(D348,LookupLists!$N$4:$T$60,2,FALSE)</f>
        <v>#N/A</v>
      </c>
      <c r="U348" s="3" t="e">
        <f>VLOOKUP(D348,LookupLists!$N$4:$T$60,3,FALSE)</f>
        <v>#N/A</v>
      </c>
      <c r="V348" s="3" t="e">
        <f>VLOOKUP(D348,LookupLists!$N$4:$T$60,5,FALSE)</f>
        <v>#N/A</v>
      </c>
    </row>
    <row r="349" spans="5:22" x14ac:dyDescent="0.3">
      <c r="E349" s="3" t="str">
        <f t="shared" si="5"/>
        <v/>
      </c>
      <c r="F349" s="3" t="str">
        <f xml:space="preserve"> IF(E349="","",  IFERROR(VLOOKUP(D349,LookupLists!$N$3:$T$60,6,FALSE)-LEN(E349),0))</f>
        <v/>
      </c>
      <c r="G349" s="3" t="str">
        <f>IF(E349="","",IFERROR(matches(E349,VLOOKUP(D349,LookupLists!$N$3:$T$60,7,FALSE)),FALSE))</f>
        <v/>
      </c>
      <c r="H349" s="3" t="e">
        <f>VLOOKUP(A349,LookupLists!$I$3:$L$60,1,FALSE)</f>
        <v>#N/A</v>
      </c>
      <c r="I349" s="3" t="e">
        <f>VLOOKUP(A349,LookupLists!$I$3:$L$60,2,FALSE)</f>
        <v>#N/A</v>
      </c>
      <c r="J349" s="3" t="e">
        <f>VLOOKUP(A349,LookupLists!$I$3:$L$60,3,FALSE)</f>
        <v>#N/A</v>
      </c>
      <c r="K349" s="3" t="e">
        <f>VLOOKUP(A349,LookupLists!$I$3:$L$60,4,FALSE)</f>
        <v>#N/A</v>
      </c>
      <c r="L349" s="3" t="e">
        <f>VLOOKUP(C349,LookupLists!$A$3:$G$60,1,FALSE)</f>
        <v>#N/A</v>
      </c>
      <c r="M349" s="3" t="e">
        <f>VLOOKUP(C349,LookupLists!$A$3:$G$60,4,FALSE)</f>
        <v>#N/A</v>
      </c>
      <c r="N349" s="3" t="e">
        <f>VLOOKUP(C349,LookupLists!$A$3:$G$60,2,FALSE)</f>
        <v>#N/A</v>
      </c>
      <c r="O349" s="3" t="e">
        <f>VLOOKUP(C349,LookupLists!$A$3:$G$60,3,FALSE)</f>
        <v>#N/A</v>
      </c>
      <c r="P349" s="3" t="e">
        <f>VLOOKUP(C349,LookupLists!$A$3:$G$60,5,FALSE)</f>
        <v>#N/A</v>
      </c>
      <c r="Q349" s="3" t="e">
        <f>VLOOKUP(C349,LookupLists!$A$3:$G$60,6,FALSE)</f>
        <v>#N/A</v>
      </c>
      <c r="R349" s="4" t="e">
        <f>VLOOKUP(C349,LookupLists!$A$3:$G$60,7,FALSE)</f>
        <v>#N/A</v>
      </c>
      <c r="S349" s="3" t="e">
        <f>VLOOKUP(D349,LookupLists!$N$4:$T$60,1,FALSE)</f>
        <v>#N/A</v>
      </c>
      <c r="T349" s="3" t="e">
        <f>VLOOKUP(D349,LookupLists!$N$4:$T$60,2,FALSE)</f>
        <v>#N/A</v>
      </c>
      <c r="U349" s="3" t="e">
        <f>VLOOKUP(D349,LookupLists!$N$4:$T$60,3,FALSE)</f>
        <v>#N/A</v>
      </c>
      <c r="V349" s="3" t="e">
        <f>VLOOKUP(D349,LookupLists!$N$4:$T$60,5,FALSE)</f>
        <v>#N/A</v>
      </c>
    </row>
    <row r="350" spans="5:22" x14ac:dyDescent="0.3">
      <c r="E350" s="3" t="str">
        <f t="shared" si="5"/>
        <v/>
      </c>
      <c r="F350" s="3" t="str">
        <f xml:space="preserve"> IF(E350="","",  IFERROR(VLOOKUP(D350,LookupLists!$N$3:$T$60,6,FALSE)-LEN(E350),0))</f>
        <v/>
      </c>
      <c r="G350" s="3" t="str">
        <f>IF(E350="","",IFERROR(matches(E350,VLOOKUP(D350,LookupLists!$N$3:$T$60,7,FALSE)),FALSE))</f>
        <v/>
      </c>
      <c r="H350" s="3" t="e">
        <f>VLOOKUP(A350,LookupLists!$I$3:$L$60,1,FALSE)</f>
        <v>#N/A</v>
      </c>
      <c r="I350" s="3" t="e">
        <f>VLOOKUP(A350,LookupLists!$I$3:$L$60,2,FALSE)</f>
        <v>#N/A</v>
      </c>
      <c r="J350" s="3" t="e">
        <f>VLOOKUP(A350,LookupLists!$I$3:$L$60,3,FALSE)</f>
        <v>#N/A</v>
      </c>
      <c r="K350" s="3" t="e">
        <f>VLOOKUP(A350,LookupLists!$I$3:$L$60,4,FALSE)</f>
        <v>#N/A</v>
      </c>
      <c r="L350" s="3" t="e">
        <f>VLOOKUP(C350,LookupLists!$A$3:$G$60,1,FALSE)</f>
        <v>#N/A</v>
      </c>
      <c r="M350" s="3" t="e">
        <f>VLOOKUP(C350,LookupLists!$A$3:$G$60,4,FALSE)</f>
        <v>#N/A</v>
      </c>
      <c r="N350" s="3" t="e">
        <f>VLOOKUP(C350,LookupLists!$A$3:$G$60,2,FALSE)</f>
        <v>#N/A</v>
      </c>
      <c r="O350" s="3" t="e">
        <f>VLOOKUP(C350,LookupLists!$A$3:$G$60,3,FALSE)</f>
        <v>#N/A</v>
      </c>
      <c r="P350" s="3" t="e">
        <f>VLOOKUP(C350,LookupLists!$A$3:$G$60,5,FALSE)</f>
        <v>#N/A</v>
      </c>
      <c r="Q350" s="3" t="e">
        <f>VLOOKUP(C350,LookupLists!$A$3:$G$60,6,FALSE)</f>
        <v>#N/A</v>
      </c>
      <c r="R350" s="4" t="e">
        <f>VLOOKUP(C350,LookupLists!$A$3:$G$60,7,FALSE)</f>
        <v>#N/A</v>
      </c>
      <c r="S350" s="3" t="e">
        <f>VLOOKUP(D350,LookupLists!$N$4:$T$60,1,FALSE)</f>
        <v>#N/A</v>
      </c>
      <c r="T350" s="3" t="e">
        <f>VLOOKUP(D350,LookupLists!$N$4:$T$60,2,FALSE)</f>
        <v>#N/A</v>
      </c>
      <c r="U350" s="3" t="e">
        <f>VLOOKUP(D350,LookupLists!$N$4:$T$60,3,FALSE)</f>
        <v>#N/A</v>
      </c>
      <c r="V350" s="3" t="e">
        <f>VLOOKUP(D350,LookupLists!$N$4:$T$60,5,FALSE)</f>
        <v>#N/A</v>
      </c>
    </row>
    <row r="351" spans="5:22" x14ac:dyDescent="0.3">
      <c r="E351" s="3" t="str">
        <f t="shared" si="5"/>
        <v/>
      </c>
      <c r="F351" s="3" t="str">
        <f xml:space="preserve"> IF(E351="","",  IFERROR(VLOOKUP(D351,LookupLists!$N$3:$T$60,6,FALSE)-LEN(E351),0))</f>
        <v/>
      </c>
      <c r="G351" s="3" t="str">
        <f>IF(E351="","",IFERROR(matches(E351,VLOOKUP(D351,LookupLists!$N$3:$T$60,7,FALSE)),FALSE))</f>
        <v/>
      </c>
      <c r="H351" s="3" t="e">
        <f>VLOOKUP(A351,LookupLists!$I$3:$L$60,1,FALSE)</f>
        <v>#N/A</v>
      </c>
      <c r="I351" s="3" t="e">
        <f>VLOOKUP(A351,LookupLists!$I$3:$L$60,2,FALSE)</f>
        <v>#N/A</v>
      </c>
      <c r="J351" s="3" t="e">
        <f>VLOOKUP(A351,LookupLists!$I$3:$L$60,3,FALSE)</f>
        <v>#N/A</v>
      </c>
      <c r="K351" s="3" t="e">
        <f>VLOOKUP(A351,LookupLists!$I$3:$L$60,4,FALSE)</f>
        <v>#N/A</v>
      </c>
      <c r="L351" s="3" t="e">
        <f>VLOOKUP(C351,LookupLists!$A$3:$G$60,1,FALSE)</f>
        <v>#N/A</v>
      </c>
      <c r="M351" s="3" t="e">
        <f>VLOOKUP(C351,LookupLists!$A$3:$G$60,4,FALSE)</f>
        <v>#N/A</v>
      </c>
      <c r="N351" s="3" t="e">
        <f>VLOOKUP(C351,LookupLists!$A$3:$G$60,2,FALSE)</f>
        <v>#N/A</v>
      </c>
      <c r="O351" s="3" t="e">
        <f>VLOOKUP(C351,LookupLists!$A$3:$G$60,3,FALSE)</f>
        <v>#N/A</v>
      </c>
      <c r="P351" s="3" t="e">
        <f>VLOOKUP(C351,LookupLists!$A$3:$G$60,5,FALSE)</f>
        <v>#N/A</v>
      </c>
      <c r="Q351" s="3" t="e">
        <f>VLOOKUP(C351,LookupLists!$A$3:$G$60,6,FALSE)</f>
        <v>#N/A</v>
      </c>
      <c r="R351" s="4" t="e">
        <f>VLOOKUP(C351,LookupLists!$A$3:$G$60,7,FALSE)</f>
        <v>#N/A</v>
      </c>
      <c r="S351" s="3" t="e">
        <f>VLOOKUP(D351,LookupLists!$N$4:$T$60,1,FALSE)</f>
        <v>#N/A</v>
      </c>
      <c r="T351" s="3" t="e">
        <f>VLOOKUP(D351,LookupLists!$N$4:$T$60,2,FALSE)</f>
        <v>#N/A</v>
      </c>
      <c r="U351" s="3" t="e">
        <f>VLOOKUP(D351,LookupLists!$N$4:$T$60,3,FALSE)</f>
        <v>#N/A</v>
      </c>
      <c r="V351" s="3" t="e">
        <f>VLOOKUP(D351,LookupLists!$N$4:$T$60,5,FALSE)</f>
        <v>#N/A</v>
      </c>
    </row>
    <row r="352" spans="5:22" x14ac:dyDescent="0.3">
      <c r="E352" s="3" t="str">
        <f t="shared" si="5"/>
        <v/>
      </c>
      <c r="F352" s="3" t="str">
        <f xml:space="preserve"> IF(E352="","",  IFERROR(VLOOKUP(D352,LookupLists!$N$3:$T$60,6,FALSE)-LEN(E352),0))</f>
        <v/>
      </c>
      <c r="G352" s="3" t="str">
        <f>IF(E352="","",IFERROR(matches(E352,VLOOKUP(D352,LookupLists!$N$3:$T$60,7,FALSE)),FALSE))</f>
        <v/>
      </c>
      <c r="H352" s="3" t="e">
        <f>VLOOKUP(A352,LookupLists!$I$3:$L$60,1,FALSE)</f>
        <v>#N/A</v>
      </c>
      <c r="I352" s="3" t="e">
        <f>VLOOKUP(A352,LookupLists!$I$3:$L$60,2,FALSE)</f>
        <v>#N/A</v>
      </c>
      <c r="J352" s="3" t="e">
        <f>VLOOKUP(A352,LookupLists!$I$3:$L$60,3,FALSE)</f>
        <v>#N/A</v>
      </c>
      <c r="K352" s="3" t="e">
        <f>VLOOKUP(A352,LookupLists!$I$3:$L$60,4,FALSE)</f>
        <v>#N/A</v>
      </c>
      <c r="L352" s="3" t="e">
        <f>VLOOKUP(C352,LookupLists!$A$3:$G$60,1,FALSE)</f>
        <v>#N/A</v>
      </c>
      <c r="M352" s="3" t="e">
        <f>VLOOKUP(C352,LookupLists!$A$3:$G$60,4,FALSE)</f>
        <v>#N/A</v>
      </c>
      <c r="N352" s="3" t="e">
        <f>VLOOKUP(C352,LookupLists!$A$3:$G$60,2,FALSE)</f>
        <v>#N/A</v>
      </c>
      <c r="O352" s="3" t="e">
        <f>VLOOKUP(C352,LookupLists!$A$3:$G$60,3,FALSE)</f>
        <v>#N/A</v>
      </c>
      <c r="P352" s="3" t="e">
        <f>VLOOKUP(C352,LookupLists!$A$3:$G$60,5,FALSE)</f>
        <v>#N/A</v>
      </c>
      <c r="Q352" s="3" t="e">
        <f>VLOOKUP(C352,LookupLists!$A$3:$G$60,6,FALSE)</f>
        <v>#N/A</v>
      </c>
      <c r="R352" s="4" t="e">
        <f>VLOOKUP(C352,LookupLists!$A$3:$G$60,7,FALSE)</f>
        <v>#N/A</v>
      </c>
      <c r="S352" s="3" t="e">
        <f>VLOOKUP(D352,LookupLists!$N$4:$T$60,1,FALSE)</f>
        <v>#N/A</v>
      </c>
      <c r="T352" s="3" t="e">
        <f>VLOOKUP(D352,LookupLists!$N$4:$T$60,2,FALSE)</f>
        <v>#N/A</v>
      </c>
      <c r="U352" s="3" t="e">
        <f>VLOOKUP(D352,LookupLists!$N$4:$T$60,3,FALSE)</f>
        <v>#N/A</v>
      </c>
      <c r="V352" s="3" t="e">
        <f>VLOOKUP(D352,LookupLists!$N$4:$T$60,5,FALSE)</f>
        <v>#N/A</v>
      </c>
    </row>
    <row r="353" spans="5:22" x14ac:dyDescent="0.3">
      <c r="E353" s="3" t="str">
        <f t="shared" si="5"/>
        <v/>
      </c>
      <c r="F353" s="3" t="str">
        <f xml:space="preserve"> IF(E353="","",  IFERROR(VLOOKUP(D353,LookupLists!$N$3:$T$60,6,FALSE)-LEN(E353),0))</f>
        <v/>
      </c>
      <c r="G353" s="3" t="str">
        <f>IF(E353="","",IFERROR(matches(E353,VLOOKUP(D353,LookupLists!$N$3:$T$60,7,FALSE)),FALSE))</f>
        <v/>
      </c>
      <c r="H353" s="3" t="e">
        <f>VLOOKUP(A353,LookupLists!$I$3:$L$60,1,FALSE)</f>
        <v>#N/A</v>
      </c>
      <c r="I353" s="3" t="e">
        <f>VLOOKUP(A353,LookupLists!$I$3:$L$60,2,FALSE)</f>
        <v>#N/A</v>
      </c>
      <c r="J353" s="3" t="e">
        <f>VLOOKUP(A353,LookupLists!$I$3:$L$60,3,FALSE)</f>
        <v>#N/A</v>
      </c>
      <c r="K353" s="3" t="e">
        <f>VLOOKUP(A353,LookupLists!$I$3:$L$60,4,FALSE)</f>
        <v>#N/A</v>
      </c>
      <c r="L353" s="3" t="e">
        <f>VLOOKUP(C353,LookupLists!$A$3:$G$60,1,FALSE)</f>
        <v>#N/A</v>
      </c>
      <c r="M353" s="3" t="e">
        <f>VLOOKUP(C353,LookupLists!$A$3:$G$60,4,FALSE)</f>
        <v>#N/A</v>
      </c>
      <c r="N353" s="3" t="e">
        <f>VLOOKUP(C353,LookupLists!$A$3:$G$60,2,FALSE)</f>
        <v>#N/A</v>
      </c>
      <c r="O353" s="3" t="e">
        <f>VLOOKUP(C353,LookupLists!$A$3:$G$60,3,FALSE)</f>
        <v>#N/A</v>
      </c>
      <c r="P353" s="3" t="e">
        <f>VLOOKUP(C353,LookupLists!$A$3:$G$60,5,FALSE)</f>
        <v>#N/A</v>
      </c>
      <c r="Q353" s="3" t="e">
        <f>VLOOKUP(C353,LookupLists!$A$3:$G$60,6,FALSE)</f>
        <v>#N/A</v>
      </c>
      <c r="R353" s="4" t="e">
        <f>VLOOKUP(C353,LookupLists!$A$3:$G$60,7,FALSE)</f>
        <v>#N/A</v>
      </c>
      <c r="S353" s="3" t="e">
        <f>VLOOKUP(D353,LookupLists!$N$4:$T$60,1,FALSE)</f>
        <v>#N/A</v>
      </c>
      <c r="T353" s="3" t="e">
        <f>VLOOKUP(D353,LookupLists!$N$4:$T$60,2,FALSE)</f>
        <v>#N/A</v>
      </c>
      <c r="U353" s="3" t="e">
        <f>VLOOKUP(D353,LookupLists!$N$4:$T$60,3,FALSE)</f>
        <v>#N/A</v>
      </c>
      <c r="V353" s="3" t="e">
        <f>VLOOKUP(D353,LookupLists!$N$4:$T$60,5,FALSE)</f>
        <v>#N/A</v>
      </c>
    </row>
    <row r="354" spans="5:22" x14ac:dyDescent="0.3">
      <c r="E354" s="3" t="str">
        <f t="shared" si="5"/>
        <v/>
      </c>
      <c r="F354" s="3" t="str">
        <f xml:space="preserve"> IF(E354="","",  IFERROR(VLOOKUP(D354,LookupLists!$N$3:$T$60,6,FALSE)-LEN(E354),0))</f>
        <v/>
      </c>
      <c r="G354" s="3" t="str">
        <f>IF(E354="","",IFERROR(matches(E354,VLOOKUP(D354,LookupLists!$N$3:$T$60,7,FALSE)),FALSE))</f>
        <v/>
      </c>
      <c r="H354" s="3" t="e">
        <f>VLOOKUP(A354,LookupLists!$I$3:$L$60,1,FALSE)</f>
        <v>#N/A</v>
      </c>
      <c r="I354" s="3" t="e">
        <f>VLOOKUP(A354,LookupLists!$I$3:$L$60,2,FALSE)</f>
        <v>#N/A</v>
      </c>
      <c r="J354" s="3" t="e">
        <f>VLOOKUP(A354,LookupLists!$I$3:$L$60,3,FALSE)</f>
        <v>#N/A</v>
      </c>
      <c r="K354" s="3" t="e">
        <f>VLOOKUP(A354,LookupLists!$I$3:$L$60,4,FALSE)</f>
        <v>#N/A</v>
      </c>
      <c r="L354" s="3" t="e">
        <f>VLOOKUP(C354,LookupLists!$A$3:$G$60,1,FALSE)</f>
        <v>#N/A</v>
      </c>
      <c r="M354" s="3" t="e">
        <f>VLOOKUP(C354,LookupLists!$A$3:$G$60,4,FALSE)</f>
        <v>#N/A</v>
      </c>
      <c r="N354" s="3" t="e">
        <f>VLOOKUP(C354,LookupLists!$A$3:$G$60,2,FALSE)</f>
        <v>#N/A</v>
      </c>
      <c r="O354" s="3" t="e">
        <f>VLOOKUP(C354,LookupLists!$A$3:$G$60,3,FALSE)</f>
        <v>#N/A</v>
      </c>
      <c r="P354" s="3" t="e">
        <f>VLOOKUP(C354,LookupLists!$A$3:$G$60,5,FALSE)</f>
        <v>#N/A</v>
      </c>
      <c r="Q354" s="3" t="e">
        <f>VLOOKUP(C354,LookupLists!$A$3:$G$60,6,FALSE)</f>
        <v>#N/A</v>
      </c>
      <c r="R354" s="4" t="e">
        <f>VLOOKUP(C354,LookupLists!$A$3:$G$60,7,FALSE)</f>
        <v>#N/A</v>
      </c>
      <c r="S354" s="3" t="e">
        <f>VLOOKUP(D354,LookupLists!$N$4:$T$60,1,FALSE)</f>
        <v>#N/A</v>
      </c>
      <c r="T354" s="3" t="e">
        <f>VLOOKUP(D354,LookupLists!$N$4:$T$60,2,FALSE)</f>
        <v>#N/A</v>
      </c>
      <c r="U354" s="3" t="e">
        <f>VLOOKUP(D354,LookupLists!$N$4:$T$60,3,FALSE)</f>
        <v>#N/A</v>
      </c>
      <c r="V354" s="3" t="e">
        <f>VLOOKUP(D354,LookupLists!$N$4:$T$60,5,FALSE)</f>
        <v>#N/A</v>
      </c>
    </row>
    <row r="355" spans="5:22" x14ac:dyDescent="0.3">
      <c r="E355" s="3" t="str">
        <f t="shared" si="5"/>
        <v/>
      </c>
      <c r="F355" s="3" t="str">
        <f xml:space="preserve"> IF(E355="","",  IFERROR(VLOOKUP(D355,LookupLists!$N$3:$T$60,6,FALSE)-LEN(E355),0))</f>
        <v/>
      </c>
      <c r="G355" s="3" t="str">
        <f>IF(E355="","",IFERROR(matches(E355,VLOOKUP(D355,LookupLists!$N$3:$T$60,7,FALSE)),FALSE))</f>
        <v/>
      </c>
      <c r="H355" s="3" t="e">
        <f>VLOOKUP(A355,LookupLists!$I$3:$L$60,1,FALSE)</f>
        <v>#N/A</v>
      </c>
      <c r="I355" s="3" t="e">
        <f>VLOOKUP(A355,LookupLists!$I$3:$L$60,2,FALSE)</f>
        <v>#N/A</v>
      </c>
      <c r="J355" s="3" t="e">
        <f>VLOOKUP(A355,LookupLists!$I$3:$L$60,3,FALSE)</f>
        <v>#N/A</v>
      </c>
      <c r="K355" s="3" t="e">
        <f>VLOOKUP(A355,LookupLists!$I$3:$L$60,4,FALSE)</f>
        <v>#N/A</v>
      </c>
      <c r="L355" s="3" t="e">
        <f>VLOOKUP(C355,LookupLists!$A$3:$G$60,1,FALSE)</f>
        <v>#N/A</v>
      </c>
      <c r="M355" s="3" t="e">
        <f>VLOOKUP(C355,LookupLists!$A$3:$G$60,4,FALSE)</f>
        <v>#N/A</v>
      </c>
      <c r="N355" s="3" t="e">
        <f>VLOOKUP(C355,LookupLists!$A$3:$G$60,2,FALSE)</f>
        <v>#N/A</v>
      </c>
      <c r="O355" s="3" t="e">
        <f>VLOOKUP(C355,LookupLists!$A$3:$G$60,3,FALSE)</f>
        <v>#N/A</v>
      </c>
      <c r="P355" s="3" t="e">
        <f>VLOOKUP(C355,LookupLists!$A$3:$G$60,5,FALSE)</f>
        <v>#N/A</v>
      </c>
      <c r="Q355" s="3" t="e">
        <f>VLOOKUP(C355,LookupLists!$A$3:$G$60,6,FALSE)</f>
        <v>#N/A</v>
      </c>
      <c r="R355" s="4" t="e">
        <f>VLOOKUP(C355,LookupLists!$A$3:$G$60,7,FALSE)</f>
        <v>#N/A</v>
      </c>
      <c r="S355" s="3" t="e">
        <f>VLOOKUP(D355,LookupLists!$N$4:$T$60,1,FALSE)</f>
        <v>#N/A</v>
      </c>
      <c r="T355" s="3" t="e">
        <f>VLOOKUP(D355,LookupLists!$N$4:$T$60,2,FALSE)</f>
        <v>#N/A</v>
      </c>
      <c r="U355" s="3" t="e">
        <f>VLOOKUP(D355,LookupLists!$N$4:$T$60,3,FALSE)</f>
        <v>#N/A</v>
      </c>
      <c r="V355" s="3" t="e">
        <f>VLOOKUP(D355,LookupLists!$N$4:$T$60,5,FALSE)</f>
        <v>#N/A</v>
      </c>
    </row>
    <row r="356" spans="5:22" x14ac:dyDescent="0.3">
      <c r="E356" s="3" t="str">
        <f t="shared" si="5"/>
        <v/>
      </c>
      <c r="F356" s="3" t="str">
        <f xml:space="preserve"> IF(E356="","",  IFERROR(VLOOKUP(D356,LookupLists!$N$3:$T$60,6,FALSE)-LEN(E356),0))</f>
        <v/>
      </c>
      <c r="G356" s="3" t="str">
        <f>IF(E356="","",IFERROR(matches(E356,VLOOKUP(D356,LookupLists!$N$3:$T$60,7,FALSE)),FALSE))</f>
        <v/>
      </c>
      <c r="H356" s="3" t="e">
        <f>VLOOKUP(A356,LookupLists!$I$3:$L$60,1,FALSE)</f>
        <v>#N/A</v>
      </c>
      <c r="I356" s="3" t="e">
        <f>VLOOKUP(A356,LookupLists!$I$3:$L$60,2,FALSE)</f>
        <v>#N/A</v>
      </c>
      <c r="J356" s="3" t="e">
        <f>VLOOKUP(A356,LookupLists!$I$3:$L$60,3,FALSE)</f>
        <v>#N/A</v>
      </c>
      <c r="K356" s="3" t="e">
        <f>VLOOKUP(A356,LookupLists!$I$3:$L$60,4,FALSE)</f>
        <v>#N/A</v>
      </c>
      <c r="L356" s="3" t="e">
        <f>VLOOKUP(C356,LookupLists!$A$3:$G$60,1,FALSE)</f>
        <v>#N/A</v>
      </c>
      <c r="M356" s="3" t="e">
        <f>VLOOKUP(C356,LookupLists!$A$3:$G$60,4,FALSE)</f>
        <v>#N/A</v>
      </c>
      <c r="N356" s="3" t="e">
        <f>VLOOKUP(C356,LookupLists!$A$3:$G$60,2,FALSE)</f>
        <v>#N/A</v>
      </c>
      <c r="O356" s="3" t="e">
        <f>VLOOKUP(C356,LookupLists!$A$3:$G$60,3,FALSE)</f>
        <v>#N/A</v>
      </c>
      <c r="P356" s="3" t="e">
        <f>VLOOKUP(C356,LookupLists!$A$3:$G$60,5,FALSE)</f>
        <v>#N/A</v>
      </c>
      <c r="Q356" s="3" t="e">
        <f>VLOOKUP(C356,LookupLists!$A$3:$G$60,6,FALSE)</f>
        <v>#N/A</v>
      </c>
      <c r="R356" s="4" t="e">
        <f>VLOOKUP(C356,LookupLists!$A$3:$G$60,7,FALSE)</f>
        <v>#N/A</v>
      </c>
      <c r="S356" s="3" t="e">
        <f>VLOOKUP(D356,LookupLists!$N$4:$T$60,1,FALSE)</f>
        <v>#N/A</v>
      </c>
      <c r="T356" s="3" t="e">
        <f>VLOOKUP(D356,LookupLists!$N$4:$T$60,2,FALSE)</f>
        <v>#N/A</v>
      </c>
      <c r="U356" s="3" t="e">
        <f>VLOOKUP(D356,LookupLists!$N$4:$T$60,3,FALSE)</f>
        <v>#N/A</v>
      </c>
      <c r="V356" s="3" t="e">
        <f>VLOOKUP(D356,LookupLists!$N$4:$T$60,5,FALSE)</f>
        <v>#N/A</v>
      </c>
    </row>
    <row r="357" spans="5:22" x14ac:dyDescent="0.3">
      <c r="E357" s="3" t="str">
        <f t="shared" si="5"/>
        <v/>
      </c>
      <c r="F357" s="3" t="str">
        <f xml:space="preserve"> IF(E357="","",  IFERROR(VLOOKUP(D357,LookupLists!$N$3:$T$60,6,FALSE)-LEN(E357),0))</f>
        <v/>
      </c>
      <c r="G357" s="3" t="str">
        <f>IF(E357="","",IFERROR(matches(E357,VLOOKUP(D357,LookupLists!$N$3:$T$60,7,FALSE)),FALSE))</f>
        <v/>
      </c>
      <c r="H357" s="3" t="e">
        <f>VLOOKUP(A357,LookupLists!$I$3:$L$60,1,FALSE)</f>
        <v>#N/A</v>
      </c>
      <c r="I357" s="3" t="e">
        <f>VLOOKUP(A357,LookupLists!$I$3:$L$60,2,FALSE)</f>
        <v>#N/A</v>
      </c>
      <c r="J357" s="3" t="e">
        <f>VLOOKUP(A357,LookupLists!$I$3:$L$60,3,FALSE)</f>
        <v>#N/A</v>
      </c>
      <c r="K357" s="3" t="e">
        <f>VLOOKUP(A357,LookupLists!$I$3:$L$60,4,FALSE)</f>
        <v>#N/A</v>
      </c>
      <c r="L357" s="3" t="e">
        <f>VLOOKUP(C357,LookupLists!$A$3:$G$60,1,FALSE)</f>
        <v>#N/A</v>
      </c>
      <c r="M357" s="3" t="e">
        <f>VLOOKUP(C357,LookupLists!$A$3:$G$60,4,FALSE)</f>
        <v>#N/A</v>
      </c>
      <c r="N357" s="3" t="e">
        <f>VLOOKUP(C357,LookupLists!$A$3:$G$60,2,FALSE)</f>
        <v>#N/A</v>
      </c>
      <c r="O357" s="3" t="e">
        <f>VLOOKUP(C357,LookupLists!$A$3:$G$60,3,FALSE)</f>
        <v>#N/A</v>
      </c>
      <c r="P357" s="3" t="e">
        <f>VLOOKUP(C357,LookupLists!$A$3:$G$60,5,FALSE)</f>
        <v>#N/A</v>
      </c>
      <c r="Q357" s="3" t="e">
        <f>VLOOKUP(C357,LookupLists!$A$3:$G$60,6,FALSE)</f>
        <v>#N/A</v>
      </c>
      <c r="R357" s="4" t="e">
        <f>VLOOKUP(C357,LookupLists!$A$3:$G$60,7,FALSE)</f>
        <v>#N/A</v>
      </c>
      <c r="S357" s="3" t="e">
        <f>VLOOKUP(D357,LookupLists!$N$4:$T$60,1,FALSE)</f>
        <v>#N/A</v>
      </c>
      <c r="T357" s="3" t="e">
        <f>VLOOKUP(D357,LookupLists!$N$4:$T$60,2,FALSE)</f>
        <v>#N/A</v>
      </c>
      <c r="U357" s="3" t="e">
        <f>VLOOKUP(D357,LookupLists!$N$4:$T$60,3,FALSE)</f>
        <v>#N/A</v>
      </c>
      <c r="V357" s="3" t="e">
        <f>VLOOKUP(D357,LookupLists!$N$4:$T$60,5,FALSE)</f>
        <v>#N/A</v>
      </c>
    </row>
    <row r="358" spans="5:22" x14ac:dyDescent="0.3">
      <c r="E358" s="3" t="str">
        <f t="shared" si="5"/>
        <v/>
      </c>
      <c r="F358" s="3" t="str">
        <f xml:space="preserve"> IF(E358="","",  IFERROR(VLOOKUP(D358,LookupLists!$N$3:$T$60,6,FALSE)-LEN(E358),0))</f>
        <v/>
      </c>
      <c r="G358" s="3" t="str">
        <f>IF(E358="","",IFERROR(matches(E358,VLOOKUP(D358,LookupLists!$N$3:$T$60,7,FALSE)),FALSE))</f>
        <v/>
      </c>
      <c r="H358" s="3" t="e">
        <f>VLOOKUP(A358,LookupLists!$I$3:$L$60,1,FALSE)</f>
        <v>#N/A</v>
      </c>
      <c r="I358" s="3" t="e">
        <f>VLOOKUP(A358,LookupLists!$I$3:$L$60,2,FALSE)</f>
        <v>#N/A</v>
      </c>
      <c r="J358" s="3" t="e">
        <f>VLOOKUP(A358,LookupLists!$I$3:$L$60,3,FALSE)</f>
        <v>#N/A</v>
      </c>
      <c r="K358" s="3" t="e">
        <f>VLOOKUP(A358,LookupLists!$I$3:$L$60,4,FALSE)</f>
        <v>#N/A</v>
      </c>
      <c r="L358" s="3" t="e">
        <f>VLOOKUP(C358,LookupLists!$A$3:$G$60,1,FALSE)</f>
        <v>#N/A</v>
      </c>
      <c r="M358" s="3" t="e">
        <f>VLOOKUP(C358,LookupLists!$A$3:$G$60,4,FALSE)</f>
        <v>#N/A</v>
      </c>
      <c r="N358" s="3" t="e">
        <f>VLOOKUP(C358,LookupLists!$A$3:$G$60,2,FALSE)</f>
        <v>#N/A</v>
      </c>
      <c r="O358" s="3" t="e">
        <f>VLOOKUP(C358,LookupLists!$A$3:$G$60,3,FALSE)</f>
        <v>#N/A</v>
      </c>
      <c r="P358" s="3" t="e">
        <f>VLOOKUP(C358,LookupLists!$A$3:$G$60,5,FALSE)</f>
        <v>#N/A</v>
      </c>
      <c r="Q358" s="3" t="e">
        <f>VLOOKUP(C358,LookupLists!$A$3:$G$60,6,FALSE)</f>
        <v>#N/A</v>
      </c>
      <c r="R358" s="4" t="e">
        <f>VLOOKUP(C358,LookupLists!$A$3:$G$60,7,FALSE)</f>
        <v>#N/A</v>
      </c>
      <c r="S358" s="3" t="e">
        <f>VLOOKUP(D358,LookupLists!$N$4:$T$60,1,FALSE)</f>
        <v>#N/A</v>
      </c>
      <c r="T358" s="3" t="e">
        <f>VLOOKUP(D358,LookupLists!$N$4:$T$60,2,FALSE)</f>
        <v>#N/A</v>
      </c>
      <c r="U358" s="3" t="e">
        <f>VLOOKUP(D358,LookupLists!$N$4:$T$60,3,FALSE)</f>
        <v>#N/A</v>
      </c>
      <c r="V358" s="3" t="e">
        <f>VLOOKUP(D358,LookupLists!$N$4:$T$60,5,FALSE)</f>
        <v>#N/A</v>
      </c>
    </row>
    <row r="359" spans="5:22" x14ac:dyDescent="0.3">
      <c r="E359" s="3" t="str">
        <f t="shared" si="5"/>
        <v/>
      </c>
      <c r="F359" s="3" t="str">
        <f xml:space="preserve"> IF(E359="","",  IFERROR(VLOOKUP(D359,LookupLists!$N$3:$T$60,6,FALSE)-LEN(E359),0))</f>
        <v/>
      </c>
      <c r="G359" s="3" t="str">
        <f>IF(E359="","",IFERROR(matches(E359,VLOOKUP(D359,LookupLists!$N$3:$T$60,7,FALSE)),FALSE))</f>
        <v/>
      </c>
      <c r="H359" s="3" t="e">
        <f>VLOOKUP(A359,LookupLists!$I$3:$L$60,1,FALSE)</f>
        <v>#N/A</v>
      </c>
      <c r="I359" s="3" t="e">
        <f>VLOOKUP(A359,LookupLists!$I$3:$L$60,2,FALSE)</f>
        <v>#N/A</v>
      </c>
      <c r="J359" s="3" t="e">
        <f>VLOOKUP(A359,LookupLists!$I$3:$L$60,3,FALSE)</f>
        <v>#N/A</v>
      </c>
      <c r="K359" s="3" t="e">
        <f>VLOOKUP(A359,LookupLists!$I$3:$L$60,4,FALSE)</f>
        <v>#N/A</v>
      </c>
      <c r="L359" s="3" t="e">
        <f>VLOOKUP(C359,LookupLists!$A$3:$G$60,1,FALSE)</f>
        <v>#N/A</v>
      </c>
      <c r="M359" s="3" t="e">
        <f>VLOOKUP(C359,LookupLists!$A$3:$G$60,4,FALSE)</f>
        <v>#N/A</v>
      </c>
      <c r="N359" s="3" t="e">
        <f>VLOOKUP(C359,LookupLists!$A$3:$G$60,2,FALSE)</f>
        <v>#N/A</v>
      </c>
      <c r="O359" s="3" t="e">
        <f>VLOOKUP(C359,LookupLists!$A$3:$G$60,3,FALSE)</f>
        <v>#N/A</v>
      </c>
      <c r="P359" s="3" t="e">
        <f>VLOOKUP(C359,LookupLists!$A$3:$G$60,5,FALSE)</f>
        <v>#N/A</v>
      </c>
      <c r="Q359" s="3" t="e">
        <f>VLOOKUP(C359,LookupLists!$A$3:$G$60,6,FALSE)</f>
        <v>#N/A</v>
      </c>
      <c r="R359" s="4" t="e">
        <f>VLOOKUP(C359,LookupLists!$A$3:$G$60,7,FALSE)</f>
        <v>#N/A</v>
      </c>
      <c r="S359" s="3" t="e">
        <f>VLOOKUP(D359,LookupLists!$N$4:$T$60,1,FALSE)</f>
        <v>#N/A</v>
      </c>
      <c r="T359" s="3" t="e">
        <f>VLOOKUP(D359,LookupLists!$N$4:$T$60,2,FALSE)</f>
        <v>#N/A</v>
      </c>
      <c r="U359" s="3" t="e">
        <f>VLOOKUP(D359,LookupLists!$N$4:$T$60,3,FALSE)</f>
        <v>#N/A</v>
      </c>
      <c r="V359" s="3" t="e">
        <f>VLOOKUP(D359,LookupLists!$N$4:$T$60,5,FALSE)</f>
        <v>#N/A</v>
      </c>
    </row>
    <row r="360" spans="5:22" x14ac:dyDescent="0.3">
      <c r="E360" s="3" t="str">
        <f t="shared" si="5"/>
        <v/>
      </c>
      <c r="F360" s="3" t="str">
        <f xml:space="preserve"> IF(E360="","",  IFERROR(VLOOKUP(D360,LookupLists!$N$3:$T$60,6,FALSE)-LEN(E360),0))</f>
        <v/>
      </c>
      <c r="G360" s="3" t="str">
        <f>IF(E360="","",IFERROR(matches(E360,VLOOKUP(D360,LookupLists!$N$3:$T$60,7,FALSE)),FALSE))</f>
        <v/>
      </c>
      <c r="H360" s="3" t="e">
        <f>VLOOKUP(A360,LookupLists!$I$3:$L$60,1,FALSE)</f>
        <v>#N/A</v>
      </c>
      <c r="I360" s="3" t="e">
        <f>VLOOKUP(A360,LookupLists!$I$3:$L$60,2,FALSE)</f>
        <v>#N/A</v>
      </c>
      <c r="J360" s="3" t="e">
        <f>VLOOKUP(A360,LookupLists!$I$3:$L$60,3,FALSE)</f>
        <v>#N/A</v>
      </c>
      <c r="K360" s="3" t="e">
        <f>VLOOKUP(A360,LookupLists!$I$3:$L$60,4,FALSE)</f>
        <v>#N/A</v>
      </c>
      <c r="L360" s="3" t="e">
        <f>VLOOKUP(C360,LookupLists!$A$3:$G$60,1,FALSE)</f>
        <v>#N/A</v>
      </c>
      <c r="M360" s="3" t="e">
        <f>VLOOKUP(C360,LookupLists!$A$3:$G$60,4,FALSE)</f>
        <v>#N/A</v>
      </c>
      <c r="N360" s="3" t="e">
        <f>VLOOKUP(C360,LookupLists!$A$3:$G$60,2,FALSE)</f>
        <v>#N/A</v>
      </c>
      <c r="O360" s="3" t="e">
        <f>VLOOKUP(C360,LookupLists!$A$3:$G$60,3,FALSE)</f>
        <v>#N/A</v>
      </c>
      <c r="P360" s="3" t="e">
        <f>VLOOKUP(C360,LookupLists!$A$3:$G$60,5,FALSE)</f>
        <v>#N/A</v>
      </c>
      <c r="Q360" s="3" t="e">
        <f>VLOOKUP(C360,LookupLists!$A$3:$G$60,6,FALSE)</f>
        <v>#N/A</v>
      </c>
      <c r="R360" s="4" t="e">
        <f>VLOOKUP(C360,LookupLists!$A$3:$G$60,7,FALSE)</f>
        <v>#N/A</v>
      </c>
      <c r="S360" s="3" t="e">
        <f>VLOOKUP(D360,LookupLists!$N$4:$T$60,1,FALSE)</f>
        <v>#N/A</v>
      </c>
      <c r="T360" s="3" t="e">
        <f>VLOOKUP(D360,LookupLists!$N$4:$T$60,2,FALSE)</f>
        <v>#N/A</v>
      </c>
      <c r="U360" s="3" t="e">
        <f>VLOOKUP(D360,LookupLists!$N$4:$T$60,3,FALSE)</f>
        <v>#N/A</v>
      </c>
      <c r="V360" s="3" t="e">
        <f>VLOOKUP(D360,LookupLists!$N$4:$T$60,5,FALSE)</f>
        <v>#N/A</v>
      </c>
    </row>
    <row r="361" spans="5:22" x14ac:dyDescent="0.3">
      <c r="E361" s="3" t="str">
        <f t="shared" si="5"/>
        <v/>
      </c>
      <c r="F361" s="3" t="str">
        <f xml:space="preserve"> IF(E361="","",  IFERROR(VLOOKUP(D361,LookupLists!$N$3:$T$60,6,FALSE)-LEN(E361),0))</f>
        <v/>
      </c>
      <c r="G361" s="3" t="str">
        <f>IF(E361="","",IFERROR(matches(E361,VLOOKUP(D361,LookupLists!$N$3:$T$60,7,FALSE)),FALSE))</f>
        <v/>
      </c>
      <c r="H361" s="3" t="e">
        <f>VLOOKUP(A361,LookupLists!$I$3:$L$60,1,FALSE)</f>
        <v>#N/A</v>
      </c>
      <c r="I361" s="3" t="e">
        <f>VLOOKUP(A361,LookupLists!$I$3:$L$60,2,FALSE)</f>
        <v>#N/A</v>
      </c>
      <c r="J361" s="3" t="e">
        <f>VLOOKUP(A361,LookupLists!$I$3:$L$60,3,FALSE)</f>
        <v>#N/A</v>
      </c>
      <c r="K361" s="3" t="e">
        <f>VLOOKUP(A361,LookupLists!$I$3:$L$60,4,FALSE)</f>
        <v>#N/A</v>
      </c>
      <c r="L361" s="3" t="e">
        <f>VLOOKUP(C361,LookupLists!$A$3:$G$60,1,FALSE)</f>
        <v>#N/A</v>
      </c>
      <c r="M361" s="3" t="e">
        <f>VLOOKUP(C361,LookupLists!$A$3:$G$60,4,FALSE)</f>
        <v>#N/A</v>
      </c>
      <c r="N361" s="3" t="e">
        <f>VLOOKUP(C361,LookupLists!$A$3:$G$60,2,FALSE)</f>
        <v>#N/A</v>
      </c>
      <c r="O361" s="3" t="e">
        <f>VLOOKUP(C361,LookupLists!$A$3:$G$60,3,FALSE)</f>
        <v>#N/A</v>
      </c>
      <c r="P361" s="3" t="e">
        <f>VLOOKUP(C361,LookupLists!$A$3:$G$60,5,FALSE)</f>
        <v>#N/A</v>
      </c>
      <c r="Q361" s="3" t="e">
        <f>VLOOKUP(C361,LookupLists!$A$3:$G$60,6,FALSE)</f>
        <v>#N/A</v>
      </c>
      <c r="R361" s="4" t="e">
        <f>VLOOKUP(C361,LookupLists!$A$3:$G$60,7,FALSE)</f>
        <v>#N/A</v>
      </c>
      <c r="S361" s="3" t="e">
        <f>VLOOKUP(D361,LookupLists!$N$4:$T$60,1,FALSE)</f>
        <v>#N/A</v>
      </c>
      <c r="T361" s="3" t="e">
        <f>VLOOKUP(D361,LookupLists!$N$4:$T$60,2,FALSE)</f>
        <v>#N/A</v>
      </c>
      <c r="U361" s="3" t="e">
        <f>VLOOKUP(D361,LookupLists!$N$4:$T$60,3,FALSE)</f>
        <v>#N/A</v>
      </c>
      <c r="V361" s="3" t="e">
        <f>VLOOKUP(D361,LookupLists!$N$4:$T$60,5,FALSE)</f>
        <v>#N/A</v>
      </c>
    </row>
    <row r="362" spans="5:22" x14ac:dyDescent="0.3">
      <c r="E362" s="3" t="str">
        <f t="shared" si="5"/>
        <v/>
      </c>
      <c r="F362" s="3" t="str">
        <f xml:space="preserve"> IF(E362="","",  IFERROR(VLOOKUP(D362,LookupLists!$N$3:$T$60,6,FALSE)-LEN(E362),0))</f>
        <v/>
      </c>
      <c r="G362" s="3" t="str">
        <f>IF(E362="","",IFERROR(matches(E362,VLOOKUP(D362,LookupLists!$N$3:$T$60,7,FALSE)),FALSE))</f>
        <v/>
      </c>
      <c r="H362" s="3" t="e">
        <f>VLOOKUP(A362,LookupLists!$I$3:$L$60,1,FALSE)</f>
        <v>#N/A</v>
      </c>
      <c r="I362" s="3" t="e">
        <f>VLOOKUP(A362,LookupLists!$I$3:$L$60,2,FALSE)</f>
        <v>#N/A</v>
      </c>
      <c r="J362" s="3" t="e">
        <f>VLOOKUP(A362,LookupLists!$I$3:$L$60,3,FALSE)</f>
        <v>#N/A</v>
      </c>
      <c r="K362" s="3" t="e">
        <f>VLOOKUP(A362,LookupLists!$I$3:$L$60,4,FALSE)</f>
        <v>#N/A</v>
      </c>
      <c r="L362" s="3" t="e">
        <f>VLOOKUP(C362,LookupLists!$A$3:$G$60,1,FALSE)</f>
        <v>#N/A</v>
      </c>
      <c r="M362" s="3" t="e">
        <f>VLOOKUP(C362,LookupLists!$A$3:$G$60,4,FALSE)</f>
        <v>#N/A</v>
      </c>
      <c r="N362" s="3" t="e">
        <f>VLOOKUP(C362,LookupLists!$A$3:$G$60,2,FALSE)</f>
        <v>#N/A</v>
      </c>
      <c r="O362" s="3" t="e">
        <f>VLOOKUP(C362,LookupLists!$A$3:$G$60,3,FALSE)</f>
        <v>#N/A</v>
      </c>
      <c r="P362" s="3" t="e">
        <f>VLOOKUP(C362,LookupLists!$A$3:$G$60,5,FALSE)</f>
        <v>#N/A</v>
      </c>
      <c r="Q362" s="3" t="e">
        <f>VLOOKUP(C362,LookupLists!$A$3:$G$60,6,FALSE)</f>
        <v>#N/A</v>
      </c>
      <c r="R362" s="4" t="e">
        <f>VLOOKUP(C362,LookupLists!$A$3:$G$60,7,FALSE)</f>
        <v>#N/A</v>
      </c>
      <c r="S362" s="3" t="e">
        <f>VLOOKUP(D362,LookupLists!$N$4:$T$60,1,FALSE)</f>
        <v>#N/A</v>
      </c>
      <c r="T362" s="3" t="e">
        <f>VLOOKUP(D362,LookupLists!$N$4:$T$60,2,FALSE)</f>
        <v>#N/A</v>
      </c>
      <c r="U362" s="3" t="e">
        <f>VLOOKUP(D362,LookupLists!$N$4:$T$60,3,FALSE)</f>
        <v>#N/A</v>
      </c>
      <c r="V362" s="3" t="e">
        <f>VLOOKUP(D362,LookupLists!$N$4:$T$60,5,FALSE)</f>
        <v>#N/A</v>
      </c>
    </row>
    <row r="363" spans="5:22" x14ac:dyDescent="0.3">
      <c r="E363" s="3" t="str">
        <f t="shared" si="5"/>
        <v/>
      </c>
      <c r="F363" s="3" t="str">
        <f xml:space="preserve"> IF(E363="","",  IFERROR(VLOOKUP(D363,LookupLists!$N$3:$T$60,6,FALSE)-LEN(E363),0))</f>
        <v/>
      </c>
      <c r="G363" s="3" t="str">
        <f>IF(E363="","",IFERROR(matches(E363,VLOOKUP(D363,LookupLists!$N$3:$T$60,7,FALSE)),FALSE))</f>
        <v/>
      </c>
      <c r="H363" s="3" t="e">
        <f>VLOOKUP(A363,LookupLists!$I$3:$L$60,1,FALSE)</f>
        <v>#N/A</v>
      </c>
      <c r="I363" s="3" t="e">
        <f>VLOOKUP(A363,LookupLists!$I$3:$L$60,2,FALSE)</f>
        <v>#N/A</v>
      </c>
      <c r="J363" s="3" t="e">
        <f>VLOOKUP(A363,LookupLists!$I$3:$L$60,3,FALSE)</f>
        <v>#N/A</v>
      </c>
      <c r="K363" s="3" t="e">
        <f>VLOOKUP(A363,LookupLists!$I$3:$L$60,4,FALSE)</f>
        <v>#N/A</v>
      </c>
      <c r="L363" s="3" t="e">
        <f>VLOOKUP(C363,LookupLists!$A$3:$G$60,1,FALSE)</f>
        <v>#N/A</v>
      </c>
      <c r="M363" s="3" t="e">
        <f>VLOOKUP(C363,LookupLists!$A$3:$G$60,4,FALSE)</f>
        <v>#N/A</v>
      </c>
      <c r="N363" s="3" t="e">
        <f>VLOOKUP(C363,LookupLists!$A$3:$G$60,2,FALSE)</f>
        <v>#N/A</v>
      </c>
      <c r="O363" s="3" t="e">
        <f>VLOOKUP(C363,LookupLists!$A$3:$G$60,3,FALSE)</f>
        <v>#N/A</v>
      </c>
      <c r="P363" s="3" t="e">
        <f>VLOOKUP(C363,LookupLists!$A$3:$G$60,5,FALSE)</f>
        <v>#N/A</v>
      </c>
      <c r="Q363" s="3" t="e">
        <f>VLOOKUP(C363,LookupLists!$A$3:$G$60,6,FALSE)</f>
        <v>#N/A</v>
      </c>
      <c r="R363" s="4" t="e">
        <f>VLOOKUP(C363,LookupLists!$A$3:$G$60,7,FALSE)</f>
        <v>#N/A</v>
      </c>
      <c r="S363" s="3" t="e">
        <f>VLOOKUP(D363,LookupLists!$N$4:$T$60,1,FALSE)</f>
        <v>#N/A</v>
      </c>
      <c r="T363" s="3" t="e">
        <f>VLOOKUP(D363,LookupLists!$N$4:$T$60,2,FALSE)</f>
        <v>#N/A</v>
      </c>
      <c r="U363" s="3" t="e">
        <f>VLOOKUP(D363,LookupLists!$N$4:$T$60,3,FALSE)</f>
        <v>#N/A</v>
      </c>
      <c r="V363" s="3" t="e">
        <f>VLOOKUP(D363,LookupLists!$N$4:$T$60,5,FALSE)</f>
        <v>#N/A</v>
      </c>
    </row>
    <row r="364" spans="5:22" x14ac:dyDescent="0.3">
      <c r="E364" s="3" t="str">
        <f t="shared" si="5"/>
        <v/>
      </c>
      <c r="F364" s="3" t="str">
        <f xml:space="preserve"> IF(E364="","",  IFERROR(VLOOKUP(D364,LookupLists!$N$3:$T$60,6,FALSE)-LEN(E364),0))</f>
        <v/>
      </c>
      <c r="G364" s="3" t="str">
        <f>IF(E364="","",IFERROR(matches(E364,VLOOKUP(D364,LookupLists!$N$3:$T$60,7,FALSE)),FALSE))</f>
        <v/>
      </c>
      <c r="H364" s="3" t="e">
        <f>VLOOKUP(A364,LookupLists!$I$3:$L$60,1,FALSE)</f>
        <v>#N/A</v>
      </c>
      <c r="I364" s="3" t="e">
        <f>VLOOKUP(A364,LookupLists!$I$3:$L$60,2,FALSE)</f>
        <v>#N/A</v>
      </c>
      <c r="J364" s="3" t="e">
        <f>VLOOKUP(A364,LookupLists!$I$3:$L$60,3,FALSE)</f>
        <v>#N/A</v>
      </c>
      <c r="K364" s="3" t="e">
        <f>VLOOKUP(A364,LookupLists!$I$3:$L$60,4,FALSE)</f>
        <v>#N/A</v>
      </c>
      <c r="L364" s="3" t="e">
        <f>VLOOKUP(C364,LookupLists!$A$3:$G$60,1,FALSE)</f>
        <v>#N/A</v>
      </c>
      <c r="M364" s="3" t="e">
        <f>VLOOKUP(C364,LookupLists!$A$3:$G$60,4,FALSE)</f>
        <v>#N/A</v>
      </c>
      <c r="N364" s="3" t="e">
        <f>VLOOKUP(C364,LookupLists!$A$3:$G$60,2,FALSE)</f>
        <v>#N/A</v>
      </c>
      <c r="O364" s="3" t="e">
        <f>VLOOKUP(C364,LookupLists!$A$3:$G$60,3,FALSE)</f>
        <v>#N/A</v>
      </c>
      <c r="P364" s="3" t="e">
        <f>VLOOKUP(C364,LookupLists!$A$3:$G$60,5,FALSE)</f>
        <v>#N/A</v>
      </c>
      <c r="Q364" s="3" t="e">
        <f>VLOOKUP(C364,LookupLists!$A$3:$G$60,6,FALSE)</f>
        <v>#N/A</v>
      </c>
      <c r="R364" s="4" t="e">
        <f>VLOOKUP(C364,LookupLists!$A$3:$G$60,7,FALSE)</f>
        <v>#N/A</v>
      </c>
      <c r="S364" s="3" t="e">
        <f>VLOOKUP(D364,LookupLists!$N$4:$T$60,1,FALSE)</f>
        <v>#N/A</v>
      </c>
      <c r="T364" s="3" t="e">
        <f>VLOOKUP(D364,LookupLists!$N$4:$T$60,2,FALSE)</f>
        <v>#N/A</v>
      </c>
      <c r="U364" s="3" t="e">
        <f>VLOOKUP(D364,LookupLists!$N$4:$T$60,3,FALSE)</f>
        <v>#N/A</v>
      </c>
      <c r="V364" s="3" t="e">
        <f>VLOOKUP(D364,LookupLists!$N$4:$T$60,5,FALSE)</f>
        <v>#N/A</v>
      </c>
    </row>
    <row r="365" spans="5:22" x14ac:dyDescent="0.3">
      <c r="E365" s="3" t="str">
        <f t="shared" si="5"/>
        <v/>
      </c>
      <c r="F365" s="3" t="str">
        <f xml:space="preserve"> IF(E365="","",  IFERROR(VLOOKUP(D365,LookupLists!$N$3:$T$60,6,FALSE)-LEN(E365),0))</f>
        <v/>
      </c>
      <c r="G365" s="3" t="str">
        <f>IF(E365="","",IFERROR(matches(E365,VLOOKUP(D365,LookupLists!$N$3:$T$60,7,FALSE)),FALSE))</f>
        <v/>
      </c>
      <c r="H365" s="3" t="e">
        <f>VLOOKUP(A365,LookupLists!$I$3:$L$60,1,FALSE)</f>
        <v>#N/A</v>
      </c>
      <c r="I365" s="3" t="e">
        <f>VLOOKUP(A365,LookupLists!$I$3:$L$60,2,FALSE)</f>
        <v>#N/A</v>
      </c>
      <c r="J365" s="3" t="e">
        <f>VLOOKUP(A365,LookupLists!$I$3:$L$60,3,FALSE)</f>
        <v>#N/A</v>
      </c>
      <c r="K365" s="3" t="e">
        <f>VLOOKUP(A365,LookupLists!$I$3:$L$60,4,FALSE)</f>
        <v>#N/A</v>
      </c>
      <c r="L365" s="3" t="e">
        <f>VLOOKUP(C365,LookupLists!$A$3:$G$60,1,FALSE)</f>
        <v>#N/A</v>
      </c>
      <c r="M365" s="3" t="e">
        <f>VLOOKUP(C365,LookupLists!$A$3:$G$60,4,FALSE)</f>
        <v>#N/A</v>
      </c>
      <c r="N365" s="3" t="e">
        <f>VLOOKUP(C365,LookupLists!$A$3:$G$60,2,FALSE)</f>
        <v>#N/A</v>
      </c>
      <c r="O365" s="3" t="e">
        <f>VLOOKUP(C365,LookupLists!$A$3:$G$60,3,FALSE)</f>
        <v>#N/A</v>
      </c>
      <c r="P365" s="3" t="e">
        <f>VLOOKUP(C365,LookupLists!$A$3:$G$60,5,FALSE)</f>
        <v>#N/A</v>
      </c>
      <c r="Q365" s="3" t="e">
        <f>VLOOKUP(C365,LookupLists!$A$3:$G$60,6,FALSE)</f>
        <v>#N/A</v>
      </c>
      <c r="R365" s="4" t="e">
        <f>VLOOKUP(C365,LookupLists!$A$3:$G$60,7,FALSE)</f>
        <v>#N/A</v>
      </c>
      <c r="S365" s="3" t="e">
        <f>VLOOKUP(D365,LookupLists!$N$4:$T$60,1,FALSE)</f>
        <v>#N/A</v>
      </c>
      <c r="T365" s="3" t="e">
        <f>VLOOKUP(D365,LookupLists!$N$4:$T$60,2,FALSE)</f>
        <v>#N/A</v>
      </c>
      <c r="U365" s="3" t="e">
        <f>VLOOKUP(D365,LookupLists!$N$4:$T$60,3,FALSE)</f>
        <v>#N/A</v>
      </c>
      <c r="V365" s="3" t="e">
        <f>VLOOKUP(D365,LookupLists!$N$4:$T$60,5,FALSE)</f>
        <v>#N/A</v>
      </c>
    </row>
    <row r="366" spans="5:22" x14ac:dyDescent="0.3">
      <c r="E366" s="3" t="str">
        <f t="shared" si="5"/>
        <v/>
      </c>
      <c r="F366" s="3" t="str">
        <f xml:space="preserve"> IF(E366="","",  IFERROR(VLOOKUP(D366,LookupLists!$N$3:$T$60,6,FALSE)-LEN(E366),0))</f>
        <v/>
      </c>
      <c r="G366" s="3" t="str">
        <f>IF(E366="","",IFERROR(matches(E366,VLOOKUP(D366,LookupLists!$N$3:$T$60,7,FALSE)),FALSE))</f>
        <v/>
      </c>
      <c r="H366" s="3" t="e">
        <f>VLOOKUP(A366,LookupLists!$I$3:$L$60,1,FALSE)</f>
        <v>#N/A</v>
      </c>
      <c r="I366" s="3" t="e">
        <f>VLOOKUP(A366,LookupLists!$I$3:$L$60,2,FALSE)</f>
        <v>#N/A</v>
      </c>
      <c r="J366" s="3" t="e">
        <f>VLOOKUP(A366,LookupLists!$I$3:$L$60,3,FALSE)</f>
        <v>#N/A</v>
      </c>
      <c r="K366" s="3" t="e">
        <f>VLOOKUP(A366,LookupLists!$I$3:$L$60,4,FALSE)</f>
        <v>#N/A</v>
      </c>
      <c r="L366" s="3" t="e">
        <f>VLOOKUP(C366,LookupLists!$A$3:$G$60,1,FALSE)</f>
        <v>#N/A</v>
      </c>
      <c r="M366" s="3" t="e">
        <f>VLOOKUP(C366,LookupLists!$A$3:$G$60,4,FALSE)</f>
        <v>#N/A</v>
      </c>
      <c r="N366" s="3" t="e">
        <f>VLOOKUP(C366,LookupLists!$A$3:$G$60,2,FALSE)</f>
        <v>#N/A</v>
      </c>
      <c r="O366" s="3" t="e">
        <f>VLOOKUP(C366,LookupLists!$A$3:$G$60,3,FALSE)</f>
        <v>#N/A</v>
      </c>
      <c r="P366" s="3" t="e">
        <f>VLOOKUP(C366,LookupLists!$A$3:$G$60,5,FALSE)</f>
        <v>#N/A</v>
      </c>
      <c r="Q366" s="3" t="e">
        <f>VLOOKUP(C366,LookupLists!$A$3:$G$60,6,FALSE)</f>
        <v>#N/A</v>
      </c>
      <c r="R366" s="4" t="e">
        <f>VLOOKUP(C366,LookupLists!$A$3:$G$60,7,FALSE)</f>
        <v>#N/A</v>
      </c>
      <c r="S366" s="3" t="e">
        <f>VLOOKUP(D366,LookupLists!$N$4:$T$60,1,FALSE)</f>
        <v>#N/A</v>
      </c>
      <c r="T366" s="3" t="e">
        <f>VLOOKUP(D366,LookupLists!$N$4:$T$60,2,FALSE)</f>
        <v>#N/A</v>
      </c>
      <c r="U366" s="3" t="e">
        <f>VLOOKUP(D366,LookupLists!$N$4:$T$60,3,FALSE)</f>
        <v>#N/A</v>
      </c>
      <c r="V366" s="3" t="e">
        <f>VLOOKUP(D366,LookupLists!$N$4:$T$60,5,FALSE)</f>
        <v>#N/A</v>
      </c>
    </row>
    <row r="367" spans="5:22" x14ac:dyDescent="0.3">
      <c r="E367" s="3" t="str">
        <f t="shared" si="5"/>
        <v/>
      </c>
      <c r="F367" s="3" t="str">
        <f xml:space="preserve"> IF(E367="","",  IFERROR(VLOOKUP(D367,LookupLists!$N$3:$T$60,6,FALSE)-LEN(E367),0))</f>
        <v/>
      </c>
      <c r="G367" s="3" t="str">
        <f>IF(E367="","",IFERROR(matches(E367,VLOOKUP(D367,LookupLists!$N$3:$T$60,7,FALSE)),FALSE))</f>
        <v/>
      </c>
      <c r="H367" s="3" t="e">
        <f>VLOOKUP(A367,LookupLists!$I$3:$L$60,1,FALSE)</f>
        <v>#N/A</v>
      </c>
      <c r="I367" s="3" t="e">
        <f>VLOOKUP(A367,LookupLists!$I$3:$L$60,2,FALSE)</f>
        <v>#N/A</v>
      </c>
      <c r="J367" s="3" t="e">
        <f>VLOOKUP(A367,LookupLists!$I$3:$L$60,3,FALSE)</f>
        <v>#N/A</v>
      </c>
      <c r="K367" s="3" t="e">
        <f>VLOOKUP(A367,LookupLists!$I$3:$L$60,4,FALSE)</f>
        <v>#N/A</v>
      </c>
      <c r="L367" s="3" t="e">
        <f>VLOOKUP(C367,LookupLists!$A$3:$G$60,1,FALSE)</f>
        <v>#N/A</v>
      </c>
      <c r="M367" s="3" t="e">
        <f>VLOOKUP(C367,LookupLists!$A$3:$G$60,4,FALSE)</f>
        <v>#N/A</v>
      </c>
      <c r="N367" s="3" t="e">
        <f>VLOOKUP(C367,LookupLists!$A$3:$G$60,2,FALSE)</f>
        <v>#N/A</v>
      </c>
      <c r="O367" s="3" t="e">
        <f>VLOOKUP(C367,LookupLists!$A$3:$G$60,3,FALSE)</f>
        <v>#N/A</v>
      </c>
      <c r="P367" s="3" t="e">
        <f>VLOOKUP(C367,LookupLists!$A$3:$G$60,5,FALSE)</f>
        <v>#N/A</v>
      </c>
      <c r="Q367" s="3" t="e">
        <f>VLOOKUP(C367,LookupLists!$A$3:$G$60,6,FALSE)</f>
        <v>#N/A</v>
      </c>
      <c r="R367" s="4" t="e">
        <f>VLOOKUP(C367,LookupLists!$A$3:$G$60,7,FALSE)</f>
        <v>#N/A</v>
      </c>
      <c r="S367" s="3" t="e">
        <f>VLOOKUP(D367,LookupLists!$N$4:$T$60,1,FALSE)</f>
        <v>#N/A</v>
      </c>
      <c r="T367" s="3" t="e">
        <f>VLOOKUP(D367,LookupLists!$N$4:$T$60,2,FALSE)</f>
        <v>#N/A</v>
      </c>
      <c r="U367" s="3" t="e">
        <f>VLOOKUP(D367,LookupLists!$N$4:$T$60,3,FALSE)</f>
        <v>#N/A</v>
      </c>
      <c r="V367" s="3" t="e">
        <f>VLOOKUP(D367,LookupLists!$N$4:$T$60,5,FALSE)</f>
        <v>#N/A</v>
      </c>
    </row>
    <row r="368" spans="5:22" x14ac:dyDescent="0.3">
      <c r="E368" s="3" t="str">
        <f t="shared" si="5"/>
        <v/>
      </c>
      <c r="F368" s="3" t="str">
        <f xml:space="preserve"> IF(E368="","",  IFERROR(VLOOKUP(D368,LookupLists!$N$3:$T$60,6,FALSE)-LEN(E368),0))</f>
        <v/>
      </c>
      <c r="G368" s="3" t="str">
        <f>IF(E368="","",IFERROR(matches(E368,VLOOKUP(D368,LookupLists!$N$3:$T$60,7,FALSE)),FALSE))</f>
        <v/>
      </c>
      <c r="H368" s="3" t="e">
        <f>VLOOKUP(A368,LookupLists!$I$3:$L$60,1,FALSE)</f>
        <v>#N/A</v>
      </c>
      <c r="I368" s="3" t="e">
        <f>VLOOKUP(A368,LookupLists!$I$3:$L$60,2,FALSE)</f>
        <v>#N/A</v>
      </c>
      <c r="J368" s="3" t="e">
        <f>VLOOKUP(A368,LookupLists!$I$3:$L$60,3,FALSE)</f>
        <v>#N/A</v>
      </c>
      <c r="K368" s="3" t="e">
        <f>VLOOKUP(A368,LookupLists!$I$3:$L$60,4,FALSE)</f>
        <v>#N/A</v>
      </c>
      <c r="L368" s="3" t="e">
        <f>VLOOKUP(C368,LookupLists!$A$3:$G$60,1,FALSE)</f>
        <v>#N/A</v>
      </c>
      <c r="M368" s="3" t="e">
        <f>VLOOKUP(C368,LookupLists!$A$3:$G$60,4,FALSE)</f>
        <v>#N/A</v>
      </c>
      <c r="N368" s="3" t="e">
        <f>VLOOKUP(C368,LookupLists!$A$3:$G$60,2,FALSE)</f>
        <v>#N/A</v>
      </c>
      <c r="O368" s="3" t="e">
        <f>VLOOKUP(C368,LookupLists!$A$3:$G$60,3,FALSE)</f>
        <v>#N/A</v>
      </c>
      <c r="P368" s="3" t="e">
        <f>VLOOKUP(C368,LookupLists!$A$3:$G$60,5,FALSE)</f>
        <v>#N/A</v>
      </c>
      <c r="Q368" s="3" t="e">
        <f>VLOOKUP(C368,LookupLists!$A$3:$G$60,6,FALSE)</f>
        <v>#N/A</v>
      </c>
      <c r="R368" s="4" t="e">
        <f>VLOOKUP(C368,LookupLists!$A$3:$G$60,7,FALSE)</f>
        <v>#N/A</v>
      </c>
      <c r="S368" s="3" t="e">
        <f>VLOOKUP(D368,LookupLists!$N$4:$T$60,1,FALSE)</f>
        <v>#N/A</v>
      </c>
      <c r="T368" s="3" t="e">
        <f>VLOOKUP(D368,LookupLists!$N$4:$T$60,2,FALSE)</f>
        <v>#N/A</v>
      </c>
      <c r="U368" s="3" t="e">
        <f>VLOOKUP(D368,LookupLists!$N$4:$T$60,3,FALSE)</f>
        <v>#N/A</v>
      </c>
      <c r="V368" s="3" t="e">
        <f>VLOOKUP(D368,LookupLists!$N$4:$T$60,5,FALSE)</f>
        <v>#N/A</v>
      </c>
    </row>
    <row r="369" spans="5:22" x14ac:dyDescent="0.3">
      <c r="E369" s="3" t="str">
        <f t="shared" si="5"/>
        <v/>
      </c>
      <c r="F369" s="3" t="str">
        <f xml:space="preserve"> IF(E369="","",  IFERROR(VLOOKUP(D369,LookupLists!$N$3:$T$60,6,FALSE)-LEN(E369),0))</f>
        <v/>
      </c>
      <c r="G369" s="3" t="str">
        <f>IF(E369="","",IFERROR(matches(E369,VLOOKUP(D369,LookupLists!$N$3:$T$60,7,FALSE)),FALSE))</f>
        <v/>
      </c>
      <c r="H369" s="3" t="e">
        <f>VLOOKUP(A369,LookupLists!$I$3:$L$60,1,FALSE)</f>
        <v>#N/A</v>
      </c>
      <c r="I369" s="3" t="e">
        <f>VLOOKUP(A369,LookupLists!$I$3:$L$60,2,FALSE)</f>
        <v>#N/A</v>
      </c>
      <c r="J369" s="3" t="e">
        <f>VLOOKUP(A369,LookupLists!$I$3:$L$60,3,FALSE)</f>
        <v>#N/A</v>
      </c>
      <c r="K369" s="3" t="e">
        <f>VLOOKUP(A369,LookupLists!$I$3:$L$60,4,FALSE)</f>
        <v>#N/A</v>
      </c>
      <c r="L369" s="3" t="e">
        <f>VLOOKUP(C369,LookupLists!$A$3:$G$60,1,FALSE)</f>
        <v>#N/A</v>
      </c>
      <c r="M369" s="3" t="e">
        <f>VLOOKUP(C369,LookupLists!$A$3:$G$60,4,FALSE)</f>
        <v>#N/A</v>
      </c>
      <c r="N369" s="3" t="e">
        <f>VLOOKUP(C369,LookupLists!$A$3:$G$60,2,FALSE)</f>
        <v>#N/A</v>
      </c>
      <c r="O369" s="3" t="e">
        <f>VLOOKUP(C369,LookupLists!$A$3:$G$60,3,FALSE)</f>
        <v>#N/A</v>
      </c>
      <c r="P369" s="3" t="e">
        <f>VLOOKUP(C369,LookupLists!$A$3:$G$60,5,FALSE)</f>
        <v>#N/A</v>
      </c>
      <c r="Q369" s="3" t="e">
        <f>VLOOKUP(C369,LookupLists!$A$3:$G$60,6,FALSE)</f>
        <v>#N/A</v>
      </c>
      <c r="R369" s="4" t="e">
        <f>VLOOKUP(C369,LookupLists!$A$3:$G$60,7,FALSE)</f>
        <v>#N/A</v>
      </c>
      <c r="S369" s="3" t="e">
        <f>VLOOKUP(D369,LookupLists!$N$4:$T$60,1,FALSE)</f>
        <v>#N/A</v>
      </c>
      <c r="T369" s="3" t="e">
        <f>VLOOKUP(D369,LookupLists!$N$4:$T$60,2,FALSE)</f>
        <v>#N/A</v>
      </c>
      <c r="U369" s="3" t="e">
        <f>VLOOKUP(D369,LookupLists!$N$4:$T$60,3,FALSE)</f>
        <v>#N/A</v>
      </c>
      <c r="V369" s="3" t="e">
        <f>VLOOKUP(D369,LookupLists!$N$4:$T$60,5,FALSE)</f>
        <v>#N/A</v>
      </c>
    </row>
    <row r="370" spans="5:22" x14ac:dyDescent="0.3">
      <c r="E370" s="3" t="str">
        <f t="shared" si="5"/>
        <v/>
      </c>
      <c r="F370" s="3" t="str">
        <f xml:space="preserve"> IF(E370="","",  IFERROR(VLOOKUP(D370,LookupLists!$N$3:$T$60,6,FALSE)-LEN(E370),0))</f>
        <v/>
      </c>
      <c r="G370" s="3" t="str">
        <f>IF(E370="","",IFERROR(matches(E370,VLOOKUP(D370,LookupLists!$N$3:$T$60,7,FALSE)),FALSE))</f>
        <v/>
      </c>
      <c r="H370" s="3" t="e">
        <f>VLOOKUP(A370,LookupLists!$I$3:$L$60,1,FALSE)</f>
        <v>#N/A</v>
      </c>
      <c r="I370" s="3" t="e">
        <f>VLOOKUP(A370,LookupLists!$I$3:$L$60,2,FALSE)</f>
        <v>#N/A</v>
      </c>
      <c r="J370" s="3" t="e">
        <f>VLOOKUP(A370,LookupLists!$I$3:$L$60,3,FALSE)</f>
        <v>#N/A</v>
      </c>
      <c r="K370" s="3" t="e">
        <f>VLOOKUP(A370,LookupLists!$I$3:$L$60,4,FALSE)</f>
        <v>#N/A</v>
      </c>
      <c r="L370" s="3" t="e">
        <f>VLOOKUP(C370,LookupLists!$A$3:$G$60,1,FALSE)</f>
        <v>#N/A</v>
      </c>
      <c r="M370" s="3" t="e">
        <f>VLOOKUP(C370,LookupLists!$A$3:$G$60,4,FALSE)</f>
        <v>#N/A</v>
      </c>
      <c r="N370" s="3" t="e">
        <f>VLOOKUP(C370,LookupLists!$A$3:$G$60,2,FALSE)</f>
        <v>#N/A</v>
      </c>
      <c r="O370" s="3" t="e">
        <f>VLOOKUP(C370,LookupLists!$A$3:$G$60,3,FALSE)</f>
        <v>#N/A</v>
      </c>
      <c r="P370" s="3" t="e">
        <f>VLOOKUP(C370,LookupLists!$A$3:$G$60,5,FALSE)</f>
        <v>#N/A</v>
      </c>
      <c r="Q370" s="3" t="e">
        <f>VLOOKUP(C370,LookupLists!$A$3:$G$60,6,FALSE)</f>
        <v>#N/A</v>
      </c>
      <c r="R370" s="4" t="e">
        <f>VLOOKUP(C370,LookupLists!$A$3:$G$60,7,FALSE)</f>
        <v>#N/A</v>
      </c>
      <c r="S370" s="3" t="e">
        <f>VLOOKUP(D370,LookupLists!$N$4:$T$60,1,FALSE)</f>
        <v>#N/A</v>
      </c>
      <c r="T370" s="3" t="e">
        <f>VLOOKUP(D370,LookupLists!$N$4:$T$60,2,FALSE)</f>
        <v>#N/A</v>
      </c>
      <c r="U370" s="3" t="e">
        <f>VLOOKUP(D370,LookupLists!$N$4:$T$60,3,FALSE)</f>
        <v>#N/A</v>
      </c>
      <c r="V370" s="3" t="e">
        <f>VLOOKUP(D370,LookupLists!$N$4:$T$60,5,FALSE)</f>
        <v>#N/A</v>
      </c>
    </row>
    <row r="371" spans="5:22" x14ac:dyDescent="0.3">
      <c r="E371" s="3" t="str">
        <f t="shared" si="5"/>
        <v/>
      </c>
      <c r="F371" s="3" t="str">
        <f xml:space="preserve"> IF(E371="","",  IFERROR(VLOOKUP(D371,LookupLists!$N$3:$T$60,6,FALSE)-LEN(E371),0))</f>
        <v/>
      </c>
      <c r="G371" s="3" t="str">
        <f>IF(E371="","",IFERROR(matches(E371,VLOOKUP(D371,LookupLists!$N$3:$T$60,7,FALSE)),FALSE))</f>
        <v/>
      </c>
      <c r="H371" s="3" t="e">
        <f>VLOOKUP(A371,LookupLists!$I$3:$L$60,1,FALSE)</f>
        <v>#N/A</v>
      </c>
      <c r="I371" s="3" t="e">
        <f>VLOOKUP(A371,LookupLists!$I$3:$L$60,2,FALSE)</f>
        <v>#N/A</v>
      </c>
      <c r="J371" s="3" t="e">
        <f>VLOOKUP(A371,LookupLists!$I$3:$L$60,3,FALSE)</f>
        <v>#N/A</v>
      </c>
      <c r="K371" s="3" t="e">
        <f>VLOOKUP(A371,LookupLists!$I$3:$L$60,4,FALSE)</f>
        <v>#N/A</v>
      </c>
      <c r="L371" s="3" t="e">
        <f>VLOOKUP(C371,LookupLists!$A$3:$G$60,1,FALSE)</f>
        <v>#N/A</v>
      </c>
      <c r="M371" s="3" t="e">
        <f>VLOOKUP(C371,LookupLists!$A$3:$G$60,4,FALSE)</f>
        <v>#N/A</v>
      </c>
      <c r="N371" s="3" t="e">
        <f>VLOOKUP(C371,LookupLists!$A$3:$G$60,2,FALSE)</f>
        <v>#N/A</v>
      </c>
      <c r="O371" s="3" t="e">
        <f>VLOOKUP(C371,LookupLists!$A$3:$G$60,3,FALSE)</f>
        <v>#N/A</v>
      </c>
      <c r="P371" s="3" t="e">
        <f>VLOOKUP(C371,LookupLists!$A$3:$G$60,5,FALSE)</f>
        <v>#N/A</v>
      </c>
      <c r="Q371" s="3" t="e">
        <f>VLOOKUP(C371,LookupLists!$A$3:$G$60,6,FALSE)</f>
        <v>#N/A</v>
      </c>
      <c r="R371" s="4" t="e">
        <f>VLOOKUP(C371,LookupLists!$A$3:$G$60,7,FALSE)</f>
        <v>#N/A</v>
      </c>
      <c r="S371" s="3" t="e">
        <f>VLOOKUP(D371,LookupLists!$N$4:$T$60,1,FALSE)</f>
        <v>#N/A</v>
      </c>
      <c r="T371" s="3" t="e">
        <f>VLOOKUP(D371,LookupLists!$N$4:$T$60,2,FALSE)</f>
        <v>#N/A</v>
      </c>
      <c r="U371" s="3" t="e">
        <f>VLOOKUP(D371,LookupLists!$N$4:$T$60,3,FALSE)</f>
        <v>#N/A</v>
      </c>
      <c r="V371" s="3" t="e">
        <f>VLOOKUP(D371,LookupLists!$N$4:$T$60,5,FALSE)</f>
        <v>#N/A</v>
      </c>
    </row>
    <row r="372" spans="5:22" x14ac:dyDescent="0.3">
      <c r="E372" s="3" t="str">
        <f t="shared" si="5"/>
        <v/>
      </c>
      <c r="F372" s="3" t="str">
        <f xml:space="preserve"> IF(E372="","",  IFERROR(VLOOKUP(D372,LookupLists!$N$3:$T$60,6,FALSE)-LEN(E372),0))</f>
        <v/>
      </c>
      <c r="G372" s="3" t="str">
        <f>IF(E372="","",IFERROR(matches(E372,VLOOKUP(D372,LookupLists!$N$3:$T$60,7,FALSE)),FALSE))</f>
        <v/>
      </c>
      <c r="H372" s="3" t="e">
        <f>VLOOKUP(A372,LookupLists!$I$3:$L$60,1,FALSE)</f>
        <v>#N/A</v>
      </c>
      <c r="I372" s="3" t="e">
        <f>VLOOKUP(A372,LookupLists!$I$3:$L$60,2,FALSE)</f>
        <v>#N/A</v>
      </c>
      <c r="J372" s="3" t="e">
        <f>VLOOKUP(A372,LookupLists!$I$3:$L$60,3,FALSE)</f>
        <v>#N/A</v>
      </c>
      <c r="K372" s="3" t="e">
        <f>VLOOKUP(A372,LookupLists!$I$3:$L$60,4,FALSE)</f>
        <v>#N/A</v>
      </c>
      <c r="L372" s="3" t="e">
        <f>VLOOKUP(C372,LookupLists!$A$3:$G$60,1,FALSE)</f>
        <v>#N/A</v>
      </c>
      <c r="M372" s="3" t="e">
        <f>VLOOKUP(C372,LookupLists!$A$3:$G$60,4,FALSE)</f>
        <v>#N/A</v>
      </c>
      <c r="N372" s="3" t="e">
        <f>VLOOKUP(C372,LookupLists!$A$3:$G$60,2,FALSE)</f>
        <v>#N/A</v>
      </c>
      <c r="O372" s="3" t="e">
        <f>VLOOKUP(C372,LookupLists!$A$3:$G$60,3,FALSE)</f>
        <v>#N/A</v>
      </c>
      <c r="P372" s="3" t="e">
        <f>VLOOKUP(C372,LookupLists!$A$3:$G$60,5,FALSE)</f>
        <v>#N/A</v>
      </c>
      <c r="Q372" s="3" t="e">
        <f>VLOOKUP(C372,LookupLists!$A$3:$G$60,6,FALSE)</f>
        <v>#N/A</v>
      </c>
      <c r="R372" s="4" t="e">
        <f>VLOOKUP(C372,LookupLists!$A$3:$G$60,7,FALSE)</f>
        <v>#N/A</v>
      </c>
      <c r="S372" s="3" t="e">
        <f>VLOOKUP(D372,LookupLists!$N$4:$T$60,1,FALSE)</f>
        <v>#N/A</v>
      </c>
      <c r="T372" s="3" t="e">
        <f>VLOOKUP(D372,LookupLists!$N$4:$T$60,2,FALSE)</f>
        <v>#N/A</v>
      </c>
      <c r="U372" s="3" t="e">
        <f>VLOOKUP(D372,LookupLists!$N$4:$T$60,3,FALSE)</f>
        <v>#N/A</v>
      </c>
      <c r="V372" s="3" t="e">
        <f>VLOOKUP(D372,LookupLists!$N$4:$T$60,5,FALSE)</f>
        <v>#N/A</v>
      </c>
    </row>
    <row r="373" spans="5:22" x14ac:dyDescent="0.3">
      <c r="E373" s="3" t="str">
        <f t="shared" si="5"/>
        <v/>
      </c>
      <c r="F373" s="3" t="str">
        <f xml:space="preserve"> IF(E373="","",  IFERROR(VLOOKUP(D373,LookupLists!$N$3:$T$60,6,FALSE)-LEN(E373),0))</f>
        <v/>
      </c>
      <c r="G373" s="3" t="str">
        <f>IF(E373="","",IFERROR(matches(E373,VLOOKUP(D373,LookupLists!$N$3:$T$60,7,FALSE)),FALSE))</f>
        <v/>
      </c>
      <c r="H373" s="3" t="e">
        <f>VLOOKUP(A373,LookupLists!$I$3:$L$60,1,FALSE)</f>
        <v>#N/A</v>
      </c>
      <c r="I373" s="3" t="e">
        <f>VLOOKUP(A373,LookupLists!$I$3:$L$60,2,FALSE)</f>
        <v>#N/A</v>
      </c>
      <c r="J373" s="3" t="e">
        <f>VLOOKUP(A373,LookupLists!$I$3:$L$60,3,FALSE)</f>
        <v>#N/A</v>
      </c>
      <c r="K373" s="3" t="e">
        <f>VLOOKUP(A373,LookupLists!$I$3:$L$60,4,FALSE)</f>
        <v>#N/A</v>
      </c>
      <c r="L373" s="3" t="e">
        <f>VLOOKUP(C373,LookupLists!$A$3:$G$60,1,FALSE)</f>
        <v>#N/A</v>
      </c>
      <c r="M373" s="3" t="e">
        <f>VLOOKUP(C373,LookupLists!$A$3:$G$60,4,FALSE)</f>
        <v>#N/A</v>
      </c>
      <c r="N373" s="3" t="e">
        <f>VLOOKUP(C373,LookupLists!$A$3:$G$60,2,FALSE)</f>
        <v>#N/A</v>
      </c>
      <c r="O373" s="3" t="e">
        <f>VLOOKUP(C373,LookupLists!$A$3:$G$60,3,FALSE)</f>
        <v>#N/A</v>
      </c>
      <c r="P373" s="3" t="e">
        <f>VLOOKUP(C373,LookupLists!$A$3:$G$60,5,FALSE)</f>
        <v>#N/A</v>
      </c>
      <c r="Q373" s="3" t="e">
        <f>VLOOKUP(C373,LookupLists!$A$3:$G$60,6,FALSE)</f>
        <v>#N/A</v>
      </c>
      <c r="R373" s="4" t="e">
        <f>VLOOKUP(C373,LookupLists!$A$3:$G$60,7,FALSE)</f>
        <v>#N/A</v>
      </c>
      <c r="S373" s="3" t="e">
        <f>VLOOKUP(D373,LookupLists!$N$4:$T$60,1,FALSE)</f>
        <v>#N/A</v>
      </c>
      <c r="T373" s="3" t="e">
        <f>VLOOKUP(D373,LookupLists!$N$4:$T$60,2,FALSE)</f>
        <v>#N/A</v>
      </c>
      <c r="U373" s="3" t="e">
        <f>VLOOKUP(D373,LookupLists!$N$4:$T$60,3,FALSE)</f>
        <v>#N/A</v>
      </c>
      <c r="V373" s="3" t="e">
        <f>VLOOKUP(D373,LookupLists!$N$4:$T$60,5,FALSE)</f>
        <v>#N/A</v>
      </c>
    </row>
    <row r="374" spans="5:22" x14ac:dyDescent="0.3">
      <c r="E374" s="3" t="str">
        <f t="shared" si="5"/>
        <v/>
      </c>
      <c r="F374" s="3" t="str">
        <f xml:space="preserve"> IF(E374="","",  IFERROR(VLOOKUP(D374,LookupLists!$N$3:$T$60,6,FALSE)-LEN(E374),0))</f>
        <v/>
      </c>
      <c r="G374" s="3" t="str">
        <f>IF(E374="","",IFERROR(matches(E374,VLOOKUP(D374,LookupLists!$N$3:$T$60,7,FALSE)),FALSE))</f>
        <v/>
      </c>
      <c r="H374" s="3" t="e">
        <f>VLOOKUP(A374,LookupLists!$I$3:$L$60,1,FALSE)</f>
        <v>#N/A</v>
      </c>
      <c r="I374" s="3" t="e">
        <f>VLOOKUP(A374,LookupLists!$I$3:$L$60,2,FALSE)</f>
        <v>#N/A</v>
      </c>
      <c r="J374" s="3" t="e">
        <f>VLOOKUP(A374,LookupLists!$I$3:$L$60,3,FALSE)</f>
        <v>#N/A</v>
      </c>
      <c r="K374" s="3" t="e">
        <f>VLOOKUP(A374,LookupLists!$I$3:$L$60,4,FALSE)</f>
        <v>#N/A</v>
      </c>
      <c r="L374" s="3" t="e">
        <f>VLOOKUP(C374,LookupLists!$A$3:$G$60,1,FALSE)</f>
        <v>#N/A</v>
      </c>
      <c r="M374" s="3" t="e">
        <f>VLOOKUP(C374,LookupLists!$A$3:$G$60,4,FALSE)</f>
        <v>#N/A</v>
      </c>
      <c r="N374" s="3" t="e">
        <f>VLOOKUP(C374,LookupLists!$A$3:$G$60,2,FALSE)</f>
        <v>#N/A</v>
      </c>
      <c r="O374" s="3" t="e">
        <f>VLOOKUP(C374,LookupLists!$A$3:$G$60,3,FALSE)</f>
        <v>#N/A</v>
      </c>
      <c r="P374" s="3" t="e">
        <f>VLOOKUP(C374,LookupLists!$A$3:$G$60,5,FALSE)</f>
        <v>#N/A</v>
      </c>
      <c r="Q374" s="3" t="e">
        <f>VLOOKUP(C374,LookupLists!$A$3:$G$60,6,FALSE)</f>
        <v>#N/A</v>
      </c>
      <c r="R374" s="4" t="e">
        <f>VLOOKUP(C374,LookupLists!$A$3:$G$60,7,FALSE)</f>
        <v>#N/A</v>
      </c>
      <c r="S374" s="3" t="e">
        <f>VLOOKUP(D374,LookupLists!$N$4:$T$60,1,FALSE)</f>
        <v>#N/A</v>
      </c>
      <c r="T374" s="3" t="e">
        <f>VLOOKUP(D374,LookupLists!$N$4:$T$60,2,FALSE)</f>
        <v>#N/A</v>
      </c>
      <c r="U374" s="3" t="e">
        <f>VLOOKUP(D374,LookupLists!$N$4:$T$60,3,FALSE)</f>
        <v>#N/A</v>
      </c>
      <c r="V374" s="3" t="e">
        <f>VLOOKUP(D374,LookupLists!$N$4:$T$60,5,FALSE)</f>
        <v>#N/A</v>
      </c>
    </row>
    <row r="375" spans="5:22" x14ac:dyDescent="0.3">
      <c r="E375" s="3" t="str">
        <f t="shared" si="5"/>
        <v/>
      </c>
      <c r="F375" s="3" t="str">
        <f xml:space="preserve"> IF(E375="","",  IFERROR(VLOOKUP(D375,LookupLists!$N$3:$T$60,6,FALSE)-LEN(E375),0))</f>
        <v/>
      </c>
      <c r="G375" s="3" t="str">
        <f>IF(E375="","",IFERROR(matches(E375,VLOOKUP(D375,LookupLists!$N$3:$T$60,7,FALSE)),FALSE))</f>
        <v/>
      </c>
      <c r="H375" s="3" t="e">
        <f>VLOOKUP(A375,LookupLists!$I$3:$L$60,1,FALSE)</f>
        <v>#N/A</v>
      </c>
      <c r="I375" s="3" t="e">
        <f>VLOOKUP(A375,LookupLists!$I$3:$L$60,2,FALSE)</f>
        <v>#N/A</v>
      </c>
      <c r="J375" s="3" t="e">
        <f>VLOOKUP(A375,LookupLists!$I$3:$L$60,3,FALSE)</f>
        <v>#N/A</v>
      </c>
      <c r="K375" s="3" t="e">
        <f>VLOOKUP(A375,LookupLists!$I$3:$L$60,4,FALSE)</f>
        <v>#N/A</v>
      </c>
      <c r="L375" s="3" t="e">
        <f>VLOOKUP(C375,LookupLists!$A$3:$G$60,1,FALSE)</f>
        <v>#N/A</v>
      </c>
      <c r="M375" s="3" t="e">
        <f>VLOOKUP(C375,LookupLists!$A$3:$G$60,4,FALSE)</f>
        <v>#N/A</v>
      </c>
      <c r="N375" s="3" t="e">
        <f>VLOOKUP(C375,LookupLists!$A$3:$G$60,2,FALSE)</f>
        <v>#N/A</v>
      </c>
      <c r="O375" s="3" t="e">
        <f>VLOOKUP(C375,LookupLists!$A$3:$G$60,3,FALSE)</f>
        <v>#N/A</v>
      </c>
      <c r="P375" s="3" t="e">
        <f>VLOOKUP(C375,LookupLists!$A$3:$G$60,5,FALSE)</f>
        <v>#N/A</v>
      </c>
      <c r="Q375" s="3" t="e">
        <f>VLOOKUP(C375,LookupLists!$A$3:$G$60,6,FALSE)</f>
        <v>#N/A</v>
      </c>
      <c r="R375" s="4" t="e">
        <f>VLOOKUP(C375,LookupLists!$A$3:$G$60,7,FALSE)</f>
        <v>#N/A</v>
      </c>
      <c r="S375" s="3" t="e">
        <f>VLOOKUP(D375,LookupLists!$N$4:$T$60,1,FALSE)</f>
        <v>#N/A</v>
      </c>
      <c r="T375" s="3" t="e">
        <f>VLOOKUP(D375,LookupLists!$N$4:$T$60,2,FALSE)</f>
        <v>#N/A</v>
      </c>
      <c r="U375" s="3" t="e">
        <f>VLOOKUP(D375,LookupLists!$N$4:$T$60,3,FALSE)</f>
        <v>#N/A</v>
      </c>
      <c r="V375" s="3" t="e">
        <f>VLOOKUP(D375,LookupLists!$N$4:$T$60,5,FALSE)</f>
        <v>#N/A</v>
      </c>
    </row>
    <row r="376" spans="5:22" x14ac:dyDescent="0.3">
      <c r="E376" s="3" t="str">
        <f t="shared" si="5"/>
        <v/>
      </c>
      <c r="F376" s="3" t="str">
        <f xml:space="preserve"> IF(E376="","",  IFERROR(VLOOKUP(D376,LookupLists!$N$3:$T$60,6,FALSE)-LEN(E376),0))</f>
        <v/>
      </c>
      <c r="G376" s="3" t="str">
        <f>IF(E376="","",IFERROR(matches(E376,VLOOKUP(D376,LookupLists!$N$3:$T$60,7,FALSE)),FALSE))</f>
        <v/>
      </c>
      <c r="H376" s="3" t="e">
        <f>VLOOKUP(A376,LookupLists!$I$3:$L$60,1,FALSE)</f>
        <v>#N/A</v>
      </c>
      <c r="I376" s="3" t="e">
        <f>VLOOKUP(A376,LookupLists!$I$3:$L$60,2,FALSE)</f>
        <v>#N/A</v>
      </c>
      <c r="J376" s="3" t="e">
        <f>VLOOKUP(A376,LookupLists!$I$3:$L$60,3,FALSE)</f>
        <v>#N/A</v>
      </c>
      <c r="K376" s="3" t="e">
        <f>VLOOKUP(A376,LookupLists!$I$3:$L$60,4,FALSE)</f>
        <v>#N/A</v>
      </c>
      <c r="L376" s="3" t="e">
        <f>VLOOKUP(C376,LookupLists!$A$3:$G$60,1,FALSE)</f>
        <v>#N/A</v>
      </c>
      <c r="M376" s="3" t="e">
        <f>VLOOKUP(C376,LookupLists!$A$3:$G$60,4,FALSE)</f>
        <v>#N/A</v>
      </c>
      <c r="N376" s="3" t="e">
        <f>VLOOKUP(C376,LookupLists!$A$3:$G$60,2,FALSE)</f>
        <v>#N/A</v>
      </c>
      <c r="O376" s="3" t="e">
        <f>VLOOKUP(C376,LookupLists!$A$3:$G$60,3,FALSE)</f>
        <v>#N/A</v>
      </c>
      <c r="P376" s="3" t="e">
        <f>VLOOKUP(C376,LookupLists!$A$3:$G$60,5,FALSE)</f>
        <v>#N/A</v>
      </c>
      <c r="Q376" s="3" t="e">
        <f>VLOOKUP(C376,LookupLists!$A$3:$G$60,6,FALSE)</f>
        <v>#N/A</v>
      </c>
      <c r="R376" s="4" t="e">
        <f>VLOOKUP(C376,LookupLists!$A$3:$G$60,7,FALSE)</f>
        <v>#N/A</v>
      </c>
      <c r="S376" s="3" t="e">
        <f>VLOOKUP(D376,LookupLists!$N$4:$T$60,1,FALSE)</f>
        <v>#N/A</v>
      </c>
      <c r="T376" s="3" t="e">
        <f>VLOOKUP(D376,LookupLists!$N$4:$T$60,2,FALSE)</f>
        <v>#N/A</v>
      </c>
      <c r="U376" s="3" t="e">
        <f>VLOOKUP(D376,LookupLists!$N$4:$T$60,3,FALSE)</f>
        <v>#N/A</v>
      </c>
      <c r="V376" s="3" t="e">
        <f>VLOOKUP(D376,LookupLists!$N$4:$T$60,5,FALSE)</f>
        <v>#N/A</v>
      </c>
    </row>
    <row r="377" spans="5:22" x14ac:dyDescent="0.3">
      <c r="E377" s="3" t="str">
        <f t="shared" si="5"/>
        <v/>
      </c>
      <c r="F377" s="3" t="str">
        <f xml:space="preserve"> IF(E377="","",  IFERROR(VLOOKUP(D377,LookupLists!$N$3:$T$60,6,FALSE)-LEN(E377),0))</f>
        <v/>
      </c>
      <c r="G377" s="3" t="str">
        <f>IF(E377="","",IFERROR(matches(E377,VLOOKUP(D377,LookupLists!$N$3:$T$60,7,FALSE)),FALSE))</f>
        <v/>
      </c>
      <c r="H377" s="3" t="e">
        <f>VLOOKUP(A377,LookupLists!$I$3:$L$60,1,FALSE)</f>
        <v>#N/A</v>
      </c>
      <c r="I377" s="3" t="e">
        <f>VLOOKUP(A377,LookupLists!$I$3:$L$60,2,FALSE)</f>
        <v>#N/A</v>
      </c>
      <c r="J377" s="3" t="e">
        <f>VLOOKUP(A377,LookupLists!$I$3:$L$60,3,FALSE)</f>
        <v>#N/A</v>
      </c>
      <c r="K377" s="3" t="e">
        <f>VLOOKUP(A377,LookupLists!$I$3:$L$60,4,FALSE)</f>
        <v>#N/A</v>
      </c>
      <c r="L377" s="3" t="e">
        <f>VLOOKUP(C377,LookupLists!$A$3:$G$60,1,FALSE)</f>
        <v>#N/A</v>
      </c>
      <c r="M377" s="3" t="e">
        <f>VLOOKUP(C377,LookupLists!$A$3:$G$60,4,FALSE)</f>
        <v>#N/A</v>
      </c>
      <c r="N377" s="3" t="e">
        <f>VLOOKUP(C377,LookupLists!$A$3:$G$60,2,FALSE)</f>
        <v>#N/A</v>
      </c>
      <c r="O377" s="3" t="e">
        <f>VLOOKUP(C377,LookupLists!$A$3:$G$60,3,FALSE)</f>
        <v>#N/A</v>
      </c>
      <c r="P377" s="3" t="e">
        <f>VLOOKUP(C377,LookupLists!$A$3:$G$60,5,FALSE)</f>
        <v>#N/A</v>
      </c>
      <c r="Q377" s="3" t="e">
        <f>VLOOKUP(C377,LookupLists!$A$3:$G$60,6,FALSE)</f>
        <v>#N/A</v>
      </c>
      <c r="R377" s="4" t="e">
        <f>VLOOKUP(C377,LookupLists!$A$3:$G$60,7,FALSE)</f>
        <v>#N/A</v>
      </c>
      <c r="S377" s="3" t="e">
        <f>VLOOKUP(D377,LookupLists!$N$4:$T$60,1,FALSE)</f>
        <v>#N/A</v>
      </c>
      <c r="T377" s="3" t="e">
        <f>VLOOKUP(D377,LookupLists!$N$4:$T$60,2,FALSE)</f>
        <v>#N/A</v>
      </c>
      <c r="U377" s="3" t="e">
        <f>VLOOKUP(D377,LookupLists!$N$4:$T$60,3,FALSE)</f>
        <v>#N/A</v>
      </c>
      <c r="V377" s="3" t="e">
        <f>VLOOKUP(D377,LookupLists!$N$4:$T$60,5,FALSE)</f>
        <v>#N/A</v>
      </c>
    </row>
    <row r="378" spans="5:22" x14ac:dyDescent="0.3">
      <c r="E378" s="3" t="str">
        <f t="shared" si="5"/>
        <v/>
      </c>
      <c r="F378" s="3" t="str">
        <f xml:space="preserve"> IF(E378="","",  IFERROR(VLOOKUP(D378,LookupLists!$N$3:$T$60,6,FALSE)-LEN(E378),0))</f>
        <v/>
      </c>
      <c r="G378" s="3" t="str">
        <f>IF(E378="","",IFERROR(matches(E378,VLOOKUP(D378,LookupLists!$N$3:$T$60,7,FALSE)),FALSE))</f>
        <v/>
      </c>
      <c r="H378" s="3" t="e">
        <f>VLOOKUP(A378,LookupLists!$I$3:$L$60,1,FALSE)</f>
        <v>#N/A</v>
      </c>
      <c r="I378" s="3" t="e">
        <f>VLOOKUP(A378,LookupLists!$I$3:$L$60,2,FALSE)</f>
        <v>#N/A</v>
      </c>
      <c r="J378" s="3" t="e">
        <f>VLOOKUP(A378,LookupLists!$I$3:$L$60,3,FALSE)</f>
        <v>#N/A</v>
      </c>
      <c r="K378" s="3" t="e">
        <f>VLOOKUP(A378,LookupLists!$I$3:$L$60,4,FALSE)</f>
        <v>#N/A</v>
      </c>
      <c r="L378" s="3" t="e">
        <f>VLOOKUP(C378,LookupLists!$A$3:$G$60,1,FALSE)</f>
        <v>#N/A</v>
      </c>
      <c r="M378" s="3" t="e">
        <f>VLOOKUP(C378,LookupLists!$A$3:$G$60,4,FALSE)</f>
        <v>#N/A</v>
      </c>
      <c r="N378" s="3" t="e">
        <f>VLOOKUP(C378,LookupLists!$A$3:$G$60,2,FALSE)</f>
        <v>#N/A</v>
      </c>
      <c r="O378" s="3" t="e">
        <f>VLOOKUP(C378,LookupLists!$A$3:$G$60,3,FALSE)</f>
        <v>#N/A</v>
      </c>
      <c r="P378" s="3" t="e">
        <f>VLOOKUP(C378,LookupLists!$A$3:$G$60,5,FALSE)</f>
        <v>#N/A</v>
      </c>
      <c r="Q378" s="3" t="e">
        <f>VLOOKUP(C378,LookupLists!$A$3:$G$60,6,FALSE)</f>
        <v>#N/A</v>
      </c>
      <c r="R378" s="4" t="e">
        <f>VLOOKUP(C378,LookupLists!$A$3:$G$60,7,FALSE)</f>
        <v>#N/A</v>
      </c>
      <c r="S378" s="3" t="e">
        <f>VLOOKUP(D378,LookupLists!$N$4:$T$60,1,FALSE)</f>
        <v>#N/A</v>
      </c>
      <c r="T378" s="3" t="e">
        <f>VLOOKUP(D378,LookupLists!$N$4:$T$60,2,FALSE)</f>
        <v>#N/A</v>
      </c>
      <c r="U378" s="3" t="e">
        <f>VLOOKUP(D378,LookupLists!$N$4:$T$60,3,FALSE)</f>
        <v>#N/A</v>
      </c>
      <c r="V378" s="3" t="e">
        <f>VLOOKUP(D378,LookupLists!$N$4:$T$60,5,FALSE)</f>
        <v>#N/A</v>
      </c>
    </row>
    <row r="379" spans="5:22" x14ac:dyDescent="0.3">
      <c r="E379" s="3" t="str">
        <f t="shared" si="5"/>
        <v/>
      </c>
      <c r="F379" s="3" t="str">
        <f xml:space="preserve"> IF(E379="","",  IFERROR(VLOOKUP(D379,LookupLists!$N$3:$T$60,6,FALSE)-LEN(E379),0))</f>
        <v/>
      </c>
      <c r="G379" s="3" t="str">
        <f>IF(E379="","",IFERROR(matches(E379,VLOOKUP(D379,LookupLists!$N$3:$T$60,7,FALSE)),FALSE))</f>
        <v/>
      </c>
      <c r="H379" s="3" t="e">
        <f>VLOOKUP(A379,LookupLists!$I$3:$L$60,1,FALSE)</f>
        <v>#N/A</v>
      </c>
      <c r="I379" s="3" t="e">
        <f>VLOOKUP(A379,LookupLists!$I$3:$L$60,2,FALSE)</f>
        <v>#N/A</v>
      </c>
      <c r="J379" s="3" t="e">
        <f>VLOOKUP(A379,LookupLists!$I$3:$L$60,3,FALSE)</f>
        <v>#N/A</v>
      </c>
      <c r="K379" s="3" t="e">
        <f>VLOOKUP(A379,LookupLists!$I$3:$L$60,4,FALSE)</f>
        <v>#N/A</v>
      </c>
      <c r="L379" s="3" t="e">
        <f>VLOOKUP(C379,LookupLists!$A$3:$G$60,1,FALSE)</f>
        <v>#N/A</v>
      </c>
      <c r="M379" s="3" t="e">
        <f>VLOOKUP(C379,LookupLists!$A$3:$G$60,4,FALSE)</f>
        <v>#N/A</v>
      </c>
      <c r="N379" s="3" t="e">
        <f>VLOOKUP(C379,LookupLists!$A$3:$G$60,2,FALSE)</f>
        <v>#N/A</v>
      </c>
      <c r="O379" s="3" t="e">
        <f>VLOOKUP(C379,LookupLists!$A$3:$G$60,3,FALSE)</f>
        <v>#N/A</v>
      </c>
      <c r="P379" s="3" t="e">
        <f>VLOOKUP(C379,LookupLists!$A$3:$G$60,5,FALSE)</f>
        <v>#N/A</v>
      </c>
      <c r="Q379" s="3" t="e">
        <f>VLOOKUP(C379,LookupLists!$A$3:$G$60,6,FALSE)</f>
        <v>#N/A</v>
      </c>
      <c r="R379" s="4" t="e">
        <f>VLOOKUP(C379,LookupLists!$A$3:$G$60,7,FALSE)</f>
        <v>#N/A</v>
      </c>
      <c r="S379" s="3" t="e">
        <f>VLOOKUP(D379,LookupLists!$N$4:$T$60,1,FALSE)</f>
        <v>#N/A</v>
      </c>
      <c r="T379" s="3" t="e">
        <f>VLOOKUP(D379,LookupLists!$N$4:$T$60,2,FALSE)</f>
        <v>#N/A</v>
      </c>
      <c r="U379" s="3" t="e">
        <f>VLOOKUP(D379,LookupLists!$N$4:$T$60,3,FALSE)</f>
        <v>#N/A</v>
      </c>
      <c r="V379" s="3" t="e">
        <f>VLOOKUP(D379,LookupLists!$N$4:$T$60,5,FALSE)</f>
        <v>#N/A</v>
      </c>
    </row>
    <row r="380" spans="5:22" x14ac:dyDescent="0.3">
      <c r="E380" s="3" t="str">
        <f t="shared" si="5"/>
        <v/>
      </c>
      <c r="F380" s="3" t="str">
        <f xml:space="preserve"> IF(E380="","",  IFERROR(VLOOKUP(D380,LookupLists!$N$3:$T$60,6,FALSE)-LEN(E380),0))</f>
        <v/>
      </c>
      <c r="G380" s="3" t="str">
        <f>IF(E380="","",IFERROR(matches(E380,VLOOKUP(D380,LookupLists!$N$3:$T$60,7,FALSE)),FALSE))</f>
        <v/>
      </c>
      <c r="H380" s="3" t="e">
        <f>VLOOKUP(A380,LookupLists!$I$3:$L$60,1,FALSE)</f>
        <v>#N/A</v>
      </c>
      <c r="I380" s="3" t="e">
        <f>VLOOKUP(A380,LookupLists!$I$3:$L$60,2,FALSE)</f>
        <v>#N/A</v>
      </c>
      <c r="J380" s="3" t="e">
        <f>VLOOKUP(A380,LookupLists!$I$3:$L$60,3,FALSE)</f>
        <v>#N/A</v>
      </c>
      <c r="K380" s="3" t="e">
        <f>VLOOKUP(A380,LookupLists!$I$3:$L$60,4,FALSE)</f>
        <v>#N/A</v>
      </c>
      <c r="L380" s="3" t="e">
        <f>VLOOKUP(C380,LookupLists!$A$3:$G$60,1,FALSE)</f>
        <v>#N/A</v>
      </c>
      <c r="M380" s="3" t="e">
        <f>VLOOKUP(C380,LookupLists!$A$3:$G$60,4,FALSE)</f>
        <v>#N/A</v>
      </c>
      <c r="N380" s="3" t="e">
        <f>VLOOKUP(C380,LookupLists!$A$3:$G$60,2,FALSE)</f>
        <v>#N/A</v>
      </c>
      <c r="O380" s="3" t="e">
        <f>VLOOKUP(C380,LookupLists!$A$3:$G$60,3,FALSE)</f>
        <v>#N/A</v>
      </c>
      <c r="P380" s="3" t="e">
        <f>VLOOKUP(C380,LookupLists!$A$3:$G$60,5,FALSE)</f>
        <v>#N/A</v>
      </c>
      <c r="Q380" s="3" t="e">
        <f>VLOOKUP(C380,LookupLists!$A$3:$G$60,6,FALSE)</f>
        <v>#N/A</v>
      </c>
      <c r="R380" s="4" t="e">
        <f>VLOOKUP(C380,LookupLists!$A$3:$G$60,7,FALSE)</f>
        <v>#N/A</v>
      </c>
      <c r="S380" s="3" t="e">
        <f>VLOOKUP(D380,LookupLists!$N$4:$T$60,1,FALSE)</f>
        <v>#N/A</v>
      </c>
      <c r="T380" s="3" t="e">
        <f>VLOOKUP(D380,LookupLists!$N$4:$T$60,2,FALSE)</f>
        <v>#N/A</v>
      </c>
      <c r="U380" s="3" t="e">
        <f>VLOOKUP(D380,LookupLists!$N$4:$T$60,3,FALSE)</f>
        <v>#N/A</v>
      </c>
      <c r="V380" s="3" t="e">
        <f>VLOOKUP(D380,LookupLists!$N$4:$T$60,5,FALSE)</f>
        <v>#N/A</v>
      </c>
    </row>
    <row r="381" spans="5:22" x14ac:dyDescent="0.3">
      <c r="E381" s="3" t="str">
        <f t="shared" si="5"/>
        <v/>
      </c>
      <c r="F381" s="3" t="str">
        <f xml:space="preserve"> IF(E381="","",  IFERROR(VLOOKUP(D381,LookupLists!$N$3:$T$60,6,FALSE)-LEN(E381),0))</f>
        <v/>
      </c>
      <c r="G381" s="3" t="str">
        <f>IF(E381="","",IFERROR(matches(E381,VLOOKUP(D381,LookupLists!$N$3:$T$60,7,FALSE)),FALSE))</f>
        <v/>
      </c>
      <c r="H381" s="3" t="e">
        <f>VLOOKUP(A381,LookupLists!$I$3:$L$60,1,FALSE)</f>
        <v>#N/A</v>
      </c>
      <c r="I381" s="3" t="e">
        <f>VLOOKUP(A381,LookupLists!$I$3:$L$60,2,FALSE)</f>
        <v>#N/A</v>
      </c>
      <c r="J381" s="3" t="e">
        <f>VLOOKUP(A381,LookupLists!$I$3:$L$60,3,FALSE)</f>
        <v>#N/A</v>
      </c>
      <c r="K381" s="3" t="e">
        <f>VLOOKUP(A381,LookupLists!$I$3:$L$60,4,FALSE)</f>
        <v>#N/A</v>
      </c>
      <c r="L381" s="3" t="e">
        <f>VLOOKUP(C381,LookupLists!$A$3:$G$60,1,FALSE)</f>
        <v>#N/A</v>
      </c>
      <c r="M381" s="3" t="e">
        <f>VLOOKUP(C381,LookupLists!$A$3:$G$60,4,FALSE)</f>
        <v>#N/A</v>
      </c>
      <c r="N381" s="3" t="e">
        <f>VLOOKUP(C381,LookupLists!$A$3:$G$60,2,FALSE)</f>
        <v>#N/A</v>
      </c>
      <c r="O381" s="3" t="e">
        <f>VLOOKUP(C381,LookupLists!$A$3:$G$60,3,FALSE)</f>
        <v>#N/A</v>
      </c>
      <c r="P381" s="3" t="e">
        <f>VLOOKUP(C381,LookupLists!$A$3:$G$60,5,FALSE)</f>
        <v>#N/A</v>
      </c>
      <c r="Q381" s="3" t="e">
        <f>VLOOKUP(C381,LookupLists!$A$3:$G$60,6,FALSE)</f>
        <v>#N/A</v>
      </c>
      <c r="R381" s="4" t="e">
        <f>VLOOKUP(C381,LookupLists!$A$3:$G$60,7,FALSE)</f>
        <v>#N/A</v>
      </c>
      <c r="S381" s="3" t="e">
        <f>VLOOKUP(D381,LookupLists!$N$4:$T$60,1,FALSE)</f>
        <v>#N/A</v>
      </c>
      <c r="T381" s="3" t="e">
        <f>VLOOKUP(D381,LookupLists!$N$4:$T$60,2,FALSE)</f>
        <v>#N/A</v>
      </c>
      <c r="U381" s="3" t="e">
        <f>VLOOKUP(D381,LookupLists!$N$4:$T$60,3,FALSE)</f>
        <v>#N/A</v>
      </c>
      <c r="V381" s="3" t="e">
        <f>VLOOKUP(D381,LookupLists!$N$4:$T$60,5,FALSE)</f>
        <v>#N/A</v>
      </c>
    </row>
    <row r="382" spans="5:22" x14ac:dyDescent="0.3">
      <c r="E382" s="3" t="str">
        <f t="shared" si="5"/>
        <v/>
      </c>
      <c r="F382" s="3" t="str">
        <f xml:space="preserve"> IF(E382="","",  IFERROR(VLOOKUP(D382,LookupLists!$N$3:$T$60,6,FALSE)-LEN(E382),0))</f>
        <v/>
      </c>
      <c r="G382" s="3" t="str">
        <f>IF(E382="","",IFERROR(matches(E382,VLOOKUP(D382,LookupLists!$N$3:$T$60,7,FALSE)),FALSE))</f>
        <v/>
      </c>
      <c r="H382" s="3" t="e">
        <f>VLOOKUP(A382,LookupLists!$I$3:$L$60,1,FALSE)</f>
        <v>#N/A</v>
      </c>
      <c r="I382" s="3" t="e">
        <f>VLOOKUP(A382,LookupLists!$I$3:$L$60,2,FALSE)</f>
        <v>#N/A</v>
      </c>
      <c r="J382" s="3" t="e">
        <f>VLOOKUP(A382,LookupLists!$I$3:$L$60,3,FALSE)</f>
        <v>#N/A</v>
      </c>
      <c r="K382" s="3" t="e">
        <f>VLOOKUP(A382,LookupLists!$I$3:$L$60,4,FALSE)</f>
        <v>#N/A</v>
      </c>
      <c r="L382" s="3" t="e">
        <f>VLOOKUP(C382,LookupLists!$A$3:$G$60,1,FALSE)</f>
        <v>#N/A</v>
      </c>
      <c r="M382" s="3" t="e">
        <f>VLOOKUP(C382,LookupLists!$A$3:$G$60,4,FALSE)</f>
        <v>#N/A</v>
      </c>
      <c r="N382" s="3" t="e">
        <f>VLOOKUP(C382,LookupLists!$A$3:$G$60,2,FALSE)</f>
        <v>#N/A</v>
      </c>
      <c r="O382" s="3" t="e">
        <f>VLOOKUP(C382,LookupLists!$A$3:$G$60,3,FALSE)</f>
        <v>#N/A</v>
      </c>
      <c r="P382" s="3" t="e">
        <f>VLOOKUP(C382,LookupLists!$A$3:$G$60,5,FALSE)</f>
        <v>#N/A</v>
      </c>
      <c r="Q382" s="3" t="e">
        <f>VLOOKUP(C382,LookupLists!$A$3:$G$60,6,FALSE)</f>
        <v>#N/A</v>
      </c>
      <c r="R382" s="4" t="e">
        <f>VLOOKUP(C382,LookupLists!$A$3:$G$60,7,FALSE)</f>
        <v>#N/A</v>
      </c>
      <c r="S382" s="3" t="e">
        <f>VLOOKUP(D382,LookupLists!$N$4:$T$60,1,FALSE)</f>
        <v>#N/A</v>
      </c>
      <c r="T382" s="3" t="e">
        <f>VLOOKUP(D382,LookupLists!$N$4:$T$60,2,FALSE)</f>
        <v>#N/A</v>
      </c>
      <c r="U382" s="3" t="e">
        <f>VLOOKUP(D382,LookupLists!$N$4:$T$60,3,FALSE)</f>
        <v>#N/A</v>
      </c>
      <c r="V382" s="3" t="e">
        <f>VLOOKUP(D382,LookupLists!$N$4:$T$60,5,FALSE)</f>
        <v>#N/A</v>
      </c>
    </row>
    <row r="383" spans="5:22" x14ac:dyDescent="0.3">
      <c r="E383" s="3" t="str">
        <f t="shared" si="5"/>
        <v/>
      </c>
      <c r="F383" s="3" t="str">
        <f xml:space="preserve"> IF(E383="","",  IFERROR(VLOOKUP(D383,LookupLists!$N$3:$T$60,6,FALSE)-LEN(E383),0))</f>
        <v/>
      </c>
      <c r="G383" s="3" t="str">
        <f>IF(E383="","",IFERROR(matches(E383,VLOOKUP(D383,LookupLists!$N$3:$T$60,7,FALSE)),FALSE))</f>
        <v/>
      </c>
      <c r="H383" s="3" t="e">
        <f>VLOOKUP(A383,LookupLists!$I$3:$L$60,1,FALSE)</f>
        <v>#N/A</v>
      </c>
      <c r="I383" s="3" t="e">
        <f>VLOOKUP(A383,LookupLists!$I$3:$L$60,2,FALSE)</f>
        <v>#N/A</v>
      </c>
      <c r="J383" s="3" t="e">
        <f>VLOOKUP(A383,LookupLists!$I$3:$L$60,3,FALSE)</f>
        <v>#N/A</v>
      </c>
      <c r="K383" s="3" t="e">
        <f>VLOOKUP(A383,LookupLists!$I$3:$L$60,4,FALSE)</f>
        <v>#N/A</v>
      </c>
      <c r="L383" s="3" t="e">
        <f>VLOOKUP(C383,LookupLists!$A$3:$G$60,1,FALSE)</f>
        <v>#N/A</v>
      </c>
      <c r="M383" s="3" t="e">
        <f>VLOOKUP(C383,LookupLists!$A$3:$G$60,4,FALSE)</f>
        <v>#N/A</v>
      </c>
      <c r="N383" s="3" t="e">
        <f>VLOOKUP(C383,LookupLists!$A$3:$G$60,2,FALSE)</f>
        <v>#N/A</v>
      </c>
      <c r="O383" s="3" t="e">
        <f>VLOOKUP(C383,LookupLists!$A$3:$G$60,3,FALSE)</f>
        <v>#N/A</v>
      </c>
      <c r="P383" s="3" t="e">
        <f>VLOOKUP(C383,LookupLists!$A$3:$G$60,5,FALSE)</f>
        <v>#N/A</v>
      </c>
      <c r="Q383" s="3" t="e">
        <f>VLOOKUP(C383,LookupLists!$A$3:$G$60,6,FALSE)</f>
        <v>#N/A</v>
      </c>
      <c r="R383" s="4" t="e">
        <f>VLOOKUP(C383,LookupLists!$A$3:$G$60,7,FALSE)</f>
        <v>#N/A</v>
      </c>
      <c r="S383" s="3" t="e">
        <f>VLOOKUP(D383,LookupLists!$N$4:$T$60,1,FALSE)</f>
        <v>#N/A</v>
      </c>
      <c r="T383" s="3" t="e">
        <f>VLOOKUP(D383,LookupLists!$N$4:$T$60,2,FALSE)</f>
        <v>#N/A</v>
      </c>
      <c r="U383" s="3" t="e">
        <f>VLOOKUP(D383,LookupLists!$N$4:$T$60,3,FALSE)</f>
        <v>#N/A</v>
      </c>
      <c r="V383" s="3" t="e">
        <f>VLOOKUP(D383,LookupLists!$N$4:$T$60,5,FALSE)</f>
        <v>#N/A</v>
      </c>
    </row>
    <row r="384" spans="5:22" x14ac:dyDescent="0.3">
      <c r="E384" s="3" t="str">
        <f t="shared" si="5"/>
        <v/>
      </c>
      <c r="F384" s="3" t="str">
        <f xml:space="preserve"> IF(E384="","",  IFERROR(VLOOKUP(D384,LookupLists!$N$3:$T$60,6,FALSE)-LEN(E384),0))</f>
        <v/>
      </c>
      <c r="G384" s="3" t="str">
        <f>IF(E384="","",IFERROR(matches(E384,VLOOKUP(D384,LookupLists!$N$3:$T$60,7,FALSE)),FALSE))</f>
        <v/>
      </c>
      <c r="H384" s="3" t="e">
        <f>VLOOKUP(A384,LookupLists!$I$3:$L$60,1,FALSE)</f>
        <v>#N/A</v>
      </c>
      <c r="I384" s="3" t="e">
        <f>VLOOKUP(A384,LookupLists!$I$3:$L$60,2,FALSE)</f>
        <v>#N/A</v>
      </c>
      <c r="J384" s="3" t="e">
        <f>VLOOKUP(A384,LookupLists!$I$3:$L$60,3,FALSE)</f>
        <v>#N/A</v>
      </c>
      <c r="K384" s="3" t="e">
        <f>VLOOKUP(A384,LookupLists!$I$3:$L$60,4,FALSE)</f>
        <v>#N/A</v>
      </c>
      <c r="L384" s="3" t="e">
        <f>VLOOKUP(C384,LookupLists!$A$3:$G$60,1,FALSE)</f>
        <v>#N/A</v>
      </c>
      <c r="M384" s="3" t="e">
        <f>VLOOKUP(C384,LookupLists!$A$3:$G$60,4,FALSE)</f>
        <v>#N/A</v>
      </c>
      <c r="N384" s="3" t="e">
        <f>VLOOKUP(C384,LookupLists!$A$3:$G$60,2,FALSE)</f>
        <v>#N/A</v>
      </c>
      <c r="O384" s="3" t="e">
        <f>VLOOKUP(C384,LookupLists!$A$3:$G$60,3,FALSE)</f>
        <v>#N/A</v>
      </c>
      <c r="P384" s="3" t="e">
        <f>VLOOKUP(C384,LookupLists!$A$3:$G$60,5,FALSE)</f>
        <v>#N/A</v>
      </c>
      <c r="Q384" s="3" t="e">
        <f>VLOOKUP(C384,LookupLists!$A$3:$G$60,6,FALSE)</f>
        <v>#N/A</v>
      </c>
      <c r="R384" s="4" t="e">
        <f>VLOOKUP(C384,LookupLists!$A$3:$G$60,7,FALSE)</f>
        <v>#N/A</v>
      </c>
      <c r="S384" s="3" t="e">
        <f>VLOOKUP(D384,LookupLists!$N$4:$T$60,1,FALSE)</f>
        <v>#N/A</v>
      </c>
      <c r="T384" s="3" t="e">
        <f>VLOOKUP(D384,LookupLists!$N$4:$T$60,2,FALSE)</f>
        <v>#N/A</v>
      </c>
      <c r="U384" s="3" t="e">
        <f>VLOOKUP(D384,LookupLists!$N$4:$T$60,3,FALSE)</f>
        <v>#N/A</v>
      </c>
      <c r="V384" s="3" t="e">
        <f>VLOOKUP(D384,LookupLists!$N$4:$T$60,5,FALSE)</f>
        <v>#N/A</v>
      </c>
    </row>
    <row r="385" spans="5:22" x14ac:dyDescent="0.3">
      <c r="E385" s="3" t="str">
        <f t="shared" si="5"/>
        <v/>
      </c>
      <c r="F385" s="3" t="str">
        <f xml:space="preserve"> IF(E385="","",  IFERROR(VLOOKUP(D385,LookupLists!$N$3:$T$60,6,FALSE)-LEN(E385),0))</f>
        <v/>
      </c>
      <c r="G385" s="3" t="str">
        <f>IF(E385="","",IFERROR(matches(E385,VLOOKUP(D385,LookupLists!$N$3:$T$60,7,FALSE)),FALSE))</f>
        <v/>
      </c>
      <c r="H385" s="3" t="e">
        <f>VLOOKUP(A385,LookupLists!$I$3:$L$60,1,FALSE)</f>
        <v>#N/A</v>
      </c>
      <c r="I385" s="3" t="e">
        <f>VLOOKUP(A385,LookupLists!$I$3:$L$60,2,FALSE)</f>
        <v>#N/A</v>
      </c>
      <c r="J385" s="3" t="e">
        <f>VLOOKUP(A385,LookupLists!$I$3:$L$60,3,FALSE)</f>
        <v>#N/A</v>
      </c>
      <c r="K385" s="3" t="e">
        <f>VLOOKUP(A385,LookupLists!$I$3:$L$60,4,FALSE)</f>
        <v>#N/A</v>
      </c>
      <c r="L385" s="3" t="e">
        <f>VLOOKUP(C385,LookupLists!$A$3:$G$60,1,FALSE)</f>
        <v>#N/A</v>
      </c>
      <c r="M385" s="3" t="e">
        <f>VLOOKUP(C385,LookupLists!$A$3:$G$60,4,FALSE)</f>
        <v>#N/A</v>
      </c>
      <c r="N385" s="3" t="e">
        <f>VLOOKUP(C385,LookupLists!$A$3:$G$60,2,FALSE)</f>
        <v>#N/A</v>
      </c>
      <c r="O385" s="3" t="e">
        <f>VLOOKUP(C385,LookupLists!$A$3:$G$60,3,FALSE)</f>
        <v>#N/A</v>
      </c>
      <c r="P385" s="3" t="e">
        <f>VLOOKUP(C385,LookupLists!$A$3:$G$60,5,FALSE)</f>
        <v>#N/A</v>
      </c>
      <c r="Q385" s="3" t="e">
        <f>VLOOKUP(C385,LookupLists!$A$3:$G$60,6,FALSE)</f>
        <v>#N/A</v>
      </c>
      <c r="R385" s="4" t="e">
        <f>VLOOKUP(C385,LookupLists!$A$3:$G$60,7,FALSE)</f>
        <v>#N/A</v>
      </c>
      <c r="S385" s="3" t="e">
        <f>VLOOKUP(D385,LookupLists!$N$4:$T$60,1,FALSE)</f>
        <v>#N/A</v>
      </c>
      <c r="T385" s="3" t="e">
        <f>VLOOKUP(D385,LookupLists!$N$4:$T$60,2,FALSE)</f>
        <v>#N/A</v>
      </c>
      <c r="U385" s="3" t="e">
        <f>VLOOKUP(D385,LookupLists!$N$4:$T$60,3,FALSE)</f>
        <v>#N/A</v>
      </c>
      <c r="V385" s="3" t="e">
        <f>VLOOKUP(D385,LookupLists!$N$4:$T$60,5,FALSE)</f>
        <v>#N/A</v>
      </c>
    </row>
    <row r="386" spans="5:22" x14ac:dyDescent="0.3">
      <c r="E386" s="3" t="str">
        <f t="shared" si="5"/>
        <v/>
      </c>
      <c r="F386" s="3" t="str">
        <f xml:space="preserve"> IF(E386="","",  IFERROR(VLOOKUP(D386,LookupLists!$N$3:$T$60,6,FALSE)-LEN(E386),0))</f>
        <v/>
      </c>
      <c r="G386" s="3" t="str">
        <f>IF(E386="","",IFERROR(matches(E386,VLOOKUP(D386,LookupLists!$N$3:$T$60,7,FALSE)),FALSE))</f>
        <v/>
      </c>
      <c r="H386" s="3" t="e">
        <f>VLOOKUP(A386,LookupLists!$I$3:$L$60,1,FALSE)</f>
        <v>#N/A</v>
      </c>
      <c r="I386" s="3" t="e">
        <f>VLOOKUP(A386,LookupLists!$I$3:$L$60,2,FALSE)</f>
        <v>#N/A</v>
      </c>
      <c r="J386" s="3" t="e">
        <f>VLOOKUP(A386,LookupLists!$I$3:$L$60,3,FALSE)</f>
        <v>#N/A</v>
      </c>
      <c r="K386" s="3" t="e">
        <f>VLOOKUP(A386,LookupLists!$I$3:$L$60,4,FALSE)</f>
        <v>#N/A</v>
      </c>
      <c r="L386" s="3" t="e">
        <f>VLOOKUP(C386,LookupLists!$A$3:$G$60,1,FALSE)</f>
        <v>#N/A</v>
      </c>
      <c r="M386" s="3" t="e">
        <f>VLOOKUP(C386,LookupLists!$A$3:$G$60,4,FALSE)</f>
        <v>#N/A</v>
      </c>
      <c r="N386" s="3" t="e">
        <f>VLOOKUP(C386,LookupLists!$A$3:$G$60,2,FALSE)</f>
        <v>#N/A</v>
      </c>
      <c r="O386" s="3" t="e">
        <f>VLOOKUP(C386,LookupLists!$A$3:$G$60,3,FALSE)</f>
        <v>#N/A</v>
      </c>
      <c r="P386" s="3" t="e">
        <f>VLOOKUP(C386,LookupLists!$A$3:$G$60,5,FALSE)</f>
        <v>#N/A</v>
      </c>
      <c r="Q386" s="3" t="e">
        <f>VLOOKUP(C386,LookupLists!$A$3:$G$60,6,FALSE)</f>
        <v>#N/A</v>
      </c>
      <c r="R386" s="4" t="e">
        <f>VLOOKUP(C386,LookupLists!$A$3:$G$60,7,FALSE)</f>
        <v>#N/A</v>
      </c>
      <c r="S386" s="3" t="e">
        <f>VLOOKUP(D386,LookupLists!$N$4:$T$60,1,FALSE)</f>
        <v>#N/A</v>
      </c>
      <c r="T386" s="3" t="e">
        <f>VLOOKUP(D386,LookupLists!$N$4:$T$60,2,FALSE)</f>
        <v>#N/A</v>
      </c>
      <c r="U386" s="3" t="e">
        <f>VLOOKUP(D386,LookupLists!$N$4:$T$60,3,FALSE)</f>
        <v>#N/A</v>
      </c>
      <c r="V386" s="3" t="e">
        <f>VLOOKUP(D386,LookupLists!$N$4:$T$60,5,FALSE)</f>
        <v>#N/A</v>
      </c>
    </row>
    <row r="387" spans="5:22" x14ac:dyDescent="0.3">
      <c r="E387" s="3" t="str">
        <f t="shared" si="5"/>
        <v/>
      </c>
      <c r="F387" s="3" t="str">
        <f xml:space="preserve"> IF(E387="","",  IFERROR(VLOOKUP(D387,LookupLists!$N$3:$T$60,6,FALSE)-LEN(E387),0))</f>
        <v/>
      </c>
      <c r="G387" s="3" t="str">
        <f>IF(E387="","",IFERROR(matches(E387,VLOOKUP(D387,LookupLists!$N$3:$T$60,7,FALSE)),FALSE))</f>
        <v/>
      </c>
      <c r="H387" s="3" t="e">
        <f>VLOOKUP(A387,LookupLists!$I$3:$L$60,1,FALSE)</f>
        <v>#N/A</v>
      </c>
      <c r="I387" s="3" t="e">
        <f>VLOOKUP(A387,LookupLists!$I$3:$L$60,2,FALSE)</f>
        <v>#N/A</v>
      </c>
      <c r="J387" s="3" t="e">
        <f>VLOOKUP(A387,LookupLists!$I$3:$L$60,3,FALSE)</f>
        <v>#N/A</v>
      </c>
      <c r="K387" s="3" t="e">
        <f>VLOOKUP(A387,LookupLists!$I$3:$L$60,4,FALSE)</f>
        <v>#N/A</v>
      </c>
      <c r="L387" s="3" t="e">
        <f>VLOOKUP(C387,LookupLists!$A$3:$G$60,1,FALSE)</f>
        <v>#N/A</v>
      </c>
      <c r="M387" s="3" t="e">
        <f>VLOOKUP(C387,LookupLists!$A$3:$G$60,4,FALSE)</f>
        <v>#N/A</v>
      </c>
      <c r="N387" s="3" t="e">
        <f>VLOOKUP(C387,LookupLists!$A$3:$G$60,2,FALSE)</f>
        <v>#N/A</v>
      </c>
      <c r="O387" s="3" t="e">
        <f>VLOOKUP(C387,LookupLists!$A$3:$G$60,3,FALSE)</f>
        <v>#N/A</v>
      </c>
      <c r="P387" s="3" t="e">
        <f>VLOOKUP(C387,LookupLists!$A$3:$G$60,5,FALSE)</f>
        <v>#N/A</v>
      </c>
      <c r="Q387" s="3" t="e">
        <f>VLOOKUP(C387,LookupLists!$A$3:$G$60,6,FALSE)</f>
        <v>#N/A</v>
      </c>
      <c r="R387" s="4" t="e">
        <f>VLOOKUP(C387,LookupLists!$A$3:$G$60,7,FALSE)</f>
        <v>#N/A</v>
      </c>
      <c r="S387" s="3" t="e">
        <f>VLOOKUP(D387,LookupLists!$N$4:$T$60,1,FALSE)</f>
        <v>#N/A</v>
      </c>
      <c r="T387" s="3" t="e">
        <f>VLOOKUP(D387,LookupLists!$N$4:$T$60,2,FALSE)</f>
        <v>#N/A</v>
      </c>
      <c r="U387" s="3" t="e">
        <f>VLOOKUP(D387,LookupLists!$N$4:$T$60,3,FALSE)</f>
        <v>#N/A</v>
      </c>
      <c r="V387" s="3" t="e">
        <f>VLOOKUP(D387,LookupLists!$N$4:$T$60,5,FALSE)</f>
        <v>#N/A</v>
      </c>
    </row>
    <row r="388" spans="5:22" x14ac:dyDescent="0.3">
      <c r="E388" s="3" t="str">
        <f t="shared" si="5"/>
        <v/>
      </c>
      <c r="F388" s="3" t="str">
        <f xml:space="preserve"> IF(E388="","",  IFERROR(VLOOKUP(D388,LookupLists!$N$3:$T$60,6,FALSE)-LEN(E388),0))</f>
        <v/>
      </c>
      <c r="G388" s="3" t="str">
        <f>IF(E388="","",IFERROR(matches(E388,VLOOKUP(D388,LookupLists!$N$3:$T$60,7,FALSE)),FALSE))</f>
        <v/>
      </c>
      <c r="H388" s="3" t="e">
        <f>VLOOKUP(A388,LookupLists!$I$3:$L$60,1,FALSE)</f>
        <v>#N/A</v>
      </c>
      <c r="I388" s="3" t="e">
        <f>VLOOKUP(A388,LookupLists!$I$3:$L$60,2,FALSE)</f>
        <v>#N/A</v>
      </c>
      <c r="J388" s="3" t="e">
        <f>VLOOKUP(A388,LookupLists!$I$3:$L$60,3,FALSE)</f>
        <v>#N/A</v>
      </c>
      <c r="K388" s="3" t="e">
        <f>VLOOKUP(A388,LookupLists!$I$3:$L$60,4,FALSE)</f>
        <v>#N/A</v>
      </c>
      <c r="L388" s="3" t="e">
        <f>VLOOKUP(C388,LookupLists!$A$3:$G$60,1,FALSE)</f>
        <v>#N/A</v>
      </c>
      <c r="M388" s="3" t="e">
        <f>VLOOKUP(C388,LookupLists!$A$3:$G$60,4,FALSE)</f>
        <v>#N/A</v>
      </c>
      <c r="N388" s="3" t="e">
        <f>VLOOKUP(C388,LookupLists!$A$3:$G$60,2,FALSE)</f>
        <v>#N/A</v>
      </c>
      <c r="O388" s="3" t="e">
        <f>VLOOKUP(C388,LookupLists!$A$3:$G$60,3,FALSE)</f>
        <v>#N/A</v>
      </c>
      <c r="P388" s="3" t="e">
        <f>VLOOKUP(C388,LookupLists!$A$3:$G$60,5,FALSE)</f>
        <v>#N/A</v>
      </c>
      <c r="Q388" s="3" t="e">
        <f>VLOOKUP(C388,LookupLists!$A$3:$G$60,6,FALSE)</f>
        <v>#N/A</v>
      </c>
      <c r="R388" s="4" t="e">
        <f>VLOOKUP(C388,LookupLists!$A$3:$G$60,7,FALSE)</f>
        <v>#N/A</v>
      </c>
      <c r="S388" s="3" t="e">
        <f>VLOOKUP(D388,LookupLists!$N$4:$T$60,1,FALSE)</f>
        <v>#N/A</v>
      </c>
      <c r="T388" s="3" t="e">
        <f>VLOOKUP(D388,LookupLists!$N$4:$T$60,2,FALSE)</f>
        <v>#N/A</v>
      </c>
      <c r="U388" s="3" t="e">
        <f>VLOOKUP(D388,LookupLists!$N$4:$T$60,3,FALSE)</f>
        <v>#N/A</v>
      </c>
      <c r="V388" s="3" t="e">
        <f>VLOOKUP(D388,LookupLists!$N$4:$T$60,5,FALSE)</f>
        <v>#N/A</v>
      </c>
    </row>
    <row r="389" spans="5:22" x14ac:dyDescent="0.3">
      <c r="E389" s="3" t="str">
        <f t="shared" si="5"/>
        <v/>
      </c>
      <c r="F389" s="3" t="str">
        <f xml:space="preserve"> IF(E389="","",  IFERROR(VLOOKUP(D389,LookupLists!$N$3:$T$60,6,FALSE)-LEN(E389),0))</f>
        <v/>
      </c>
      <c r="G389" s="3" t="str">
        <f>IF(E389="","",IFERROR(matches(E389,VLOOKUP(D389,LookupLists!$N$3:$T$60,7,FALSE)),FALSE))</f>
        <v/>
      </c>
      <c r="H389" s="3" t="e">
        <f>VLOOKUP(A389,LookupLists!$I$3:$L$60,1,FALSE)</f>
        <v>#N/A</v>
      </c>
      <c r="I389" s="3" t="e">
        <f>VLOOKUP(A389,LookupLists!$I$3:$L$60,2,FALSE)</f>
        <v>#N/A</v>
      </c>
      <c r="J389" s="3" t="e">
        <f>VLOOKUP(A389,LookupLists!$I$3:$L$60,3,FALSE)</f>
        <v>#N/A</v>
      </c>
      <c r="K389" s="3" t="e">
        <f>VLOOKUP(A389,LookupLists!$I$3:$L$60,4,FALSE)</f>
        <v>#N/A</v>
      </c>
      <c r="L389" s="3" t="e">
        <f>VLOOKUP(C389,LookupLists!$A$3:$G$60,1,FALSE)</f>
        <v>#N/A</v>
      </c>
      <c r="M389" s="3" t="e">
        <f>VLOOKUP(C389,LookupLists!$A$3:$G$60,4,FALSE)</f>
        <v>#N/A</v>
      </c>
      <c r="N389" s="3" t="e">
        <f>VLOOKUP(C389,LookupLists!$A$3:$G$60,2,FALSE)</f>
        <v>#N/A</v>
      </c>
      <c r="O389" s="3" t="e">
        <f>VLOOKUP(C389,LookupLists!$A$3:$G$60,3,FALSE)</f>
        <v>#N/A</v>
      </c>
      <c r="P389" s="3" t="e">
        <f>VLOOKUP(C389,LookupLists!$A$3:$G$60,5,FALSE)</f>
        <v>#N/A</v>
      </c>
      <c r="Q389" s="3" t="e">
        <f>VLOOKUP(C389,LookupLists!$A$3:$G$60,6,FALSE)</f>
        <v>#N/A</v>
      </c>
      <c r="R389" s="4" t="e">
        <f>VLOOKUP(C389,LookupLists!$A$3:$G$60,7,FALSE)</f>
        <v>#N/A</v>
      </c>
      <c r="S389" s="3" t="e">
        <f>VLOOKUP(D389,LookupLists!$N$4:$T$60,1,FALSE)</f>
        <v>#N/A</v>
      </c>
      <c r="T389" s="3" t="e">
        <f>VLOOKUP(D389,LookupLists!$N$4:$T$60,2,FALSE)</f>
        <v>#N/A</v>
      </c>
      <c r="U389" s="3" t="e">
        <f>VLOOKUP(D389,LookupLists!$N$4:$T$60,3,FALSE)</f>
        <v>#N/A</v>
      </c>
      <c r="V389" s="3" t="e">
        <f>VLOOKUP(D389,LookupLists!$N$4:$T$60,5,FALSE)</f>
        <v>#N/A</v>
      </c>
    </row>
    <row r="390" spans="5:22" x14ac:dyDescent="0.3">
      <c r="E390" s="3" t="str">
        <f t="shared" si="5"/>
        <v/>
      </c>
      <c r="F390" s="3" t="str">
        <f xml:space="preserve"> IF(E390="","",  IFERROR(VLOOKUP(D390,LookupLists!$N$3:$T$60,6,FALSE)-LEN(E390),0))</f>
        <v/>
      </c>
      <c r="G390" s="3" t="str">
        <f>IF(E390="","",IFERROR(matches(E390,VLOOKUP(D390,LookupLists!$N$3:$T$60,7,FALSE)),FALSE))</f>
        <v/>
      </c>
      <c r="H390" s="3" t="e">
        <f>VLOOKUP(A390,LookupLists!$I$3:$L$60,1,FALSE)</f>
        <v>#N/A</v>
      </c>
      <c r="I390" s="3" t="e">
        <f>VLOOKUP(A390,LookupLists!$I$3:$L$60,2,FALSE)</f>
        <v>#N/A</v>
      </c>
      <c r="J390" s="3" t="e">
        <f>VLOOKUP(A390,LookupLists!$I$3:$L$60,3,FALSE)</f>
        <v>#N/A</v>
      </c>
      <c r="K390" s="3" t="e">
        <f>VLOOKUP(A390,LookupLists!$I$3:$L$60,4,FALSE)</f>
        <v>#N/A</v>
      </c>
      <c r="L390" s="3" t="e">
        <f>VLOOKUP(C390,LookupLists!$A$3:$G$60,1,FALSE)</f>
        <v>#N/A</v>
      </c>
      <c r="M390" s="3" t="e">
        <f>VLOOKUP(C390,LookupLists!$A$3:$G$60,4,FALSE)</f>
        <v>#N/A</v>
      </c>
      <c r="N390" s="3" t="e">
        <f>VLOOKUP(C390,LookupLists!$A$3:$G$60,2,FALSE)</f>
        <v>#N/A</v>
      </c>
      <c r="O390" s="3" t="e">
        <f>VLOOKUP(C390,LookupLists!$A$3:$G$60,3,FALSE)</f>
        <v>#N/A</v>
      </c>
      <c r="P390" s="3" t="e">
        <f>VLOOKUP(C390,LookupLists!$A$3:$G$60,5,FALSE)</f>
        <v>#N/A</v>
      </c>
      <c r="Q390" s="3" t="e">
        <f>VLOOKUP(C390,LookupLists!$A$3:$G$60,6,FALSE)</f>
        <v>#N/A</v>
      </c>
      <c r="R390" s="4" t="e">
        <f>VLOOKUP(C390,LookupLists!$A$3:$G$60,7,FALSE)</f>
        <v>#N/A</v>
      </c>
      <c r="S390" s="3" t="e">
        <f>VLOOKUP(D390,LookupLists!$N$4:$T$60,1,FALSE)</f>
        <v>#N/A</v>
      </c>
      <c r="T390" s="3" t="e">
        <f>VLOOKUP(D390,LookupLists!$N$4:$T$60,2,FALSE)</f>
        <v>#N/A</v>
      </c>
      <c r="U390" s="3" t="e">
        <f>VLOOKUP(D390,LookupLists!$N$4:$T$60,3,FALSE)</f>
        <v>#N/A</v>
      </c>
      <c r="V390" s="3" t="e">
        <f>VLOOKUP(D390,LookupLists!$N$4:$T$60,5,FALSE)</f>
        <v>#N/A</v>
      </c>
    </row>
    <row r="391" spans="5:22" x14ac:dyDescent="0.3">
      <c r="E391" s="3" t="str">
        <f t="shared" si="5"/>
        <v/>
      </c>
      <c r="F391" s="3" t="str">
        <f xml:space="preserve"> IF(E391="","",  IFERROR(VLOOKUP(D391,LookupLists!$N$3:$T$60,6,FALSE)-LEN(E391),0))</f>
        <v/>
      </c>
      <c r="G391" s="3" t="str">
        <f>IF(E391="","",IFERROR(matches(E391,VLOOKUP(D391,LookupLists!$N$3:$T$60,7,FALSE)),FALSE))</f>
        <v/>
      </c>
      <c r="H391" s="3" t="e">
        <f>VLOOKUP(A391,LookupLists!$I$3:$L$60,1,FALSE)</f>
        <v>#N/A</v>
      </c>
      <c r="I391" s="3" t="e">
        <f>VLOOKUP(A391,LookupLists!$I$3:$L$60,2,FALSE)</f>
        <v>#N/A</v>
      </c>
      <c r="J391" s="3" t="e">
        <f>VLOOKUP(A391,LookupLists!$I$3:$L$60,3,FALSE)</f>
        <v>#N/A</v>
      </c>
      <c r="K391" s="3" t="e">
        <f>VLOOKUP(A391,LookupLists!$I$3:$L$60,4,FALSE)</f>
        <v>#N/A</v>
      </c>
      <c r="L391" s="3" t="e">
        <f>VLOOKUP(C391,LookupLists!$A$3:$G$60,1,FALSE)</f>
        <v>#N/A</v>
      </c>
      <c r="M391" s="3" t="e">
        <f>VLOOKUP(C391,LookupLists!$A$3:$G$60,4,FALSE)</f>
        <v>#N/A</v>
      </c>
      <c r="N391" s="3" t="e">
        <f>VLOOKUP(C391,LookupLists!$A$3:$G$60,2,FALSE)</f>
        <v>#N/A</v>
      </c>
      <c r="O391" s="3" t="e">
        <f>VLOOKUP(C391,LookupLists!$A$3:$G$60,3,FALSE)</f>
        <v>#N/A</v>
      </c>
      <c r="P391" s="3" t="e">
        <f>VLOOKUP(C391,LookupLists!$A$3:$G$60,5,FALSE)</f>
        <v>#N/A</v>
      </c>
      <c r="Q391" s="3" t="e">
        <f>VLOOKUP(C391,LookupLists!$A$3:$G$60,6,FALSE)</f>
        <v>#N/A</v>
      </c>
      <c r="R391" s="4" t="e">
        <f>VLOOKUP(C391,LookupLists!$A$3:$G$60,7,FALSE)</f>
        <v>#N/A</v>
      </c>
      <c r="S391" s="3" t="e">
        <f>VLOOKUP(D391,LookupLists!$N$4:$T$60,1,FALSE)</f>
        <v>#N/A</v>
      </c>
      <c r="T391" s="3" t="e">
        <f>VLOOKUP(D391,LookupLists!$N$4:$T$60,2,FALSE)</f>
        <v>#N/A</v>
      </c>
      <c r="U391" s="3" t="e">
        <f>VLOOKUP(D391,LookupLists!$N$4:$T$60,3,FALSE)</f>
        <v>#N/A</v>
      </c>
      <c r="V391" s="3" t="e">
        <f>VLOOKUP(D391,LookupLists!$N$4:$T$60,5,FALSE)</f>
        <v>#N/A</v>
      </c>
    </row>
    <row r="392" spans="5:22" x14ac:dyDescent="0.3">
      <c r="E392" s="3" t="str">
        <f t="shared" ref="E392:E400" si="6">IFERROR(ComputeResourceName($B$3,$B$2,$B$1,B392,H392,I392,J392,K392,L392,N392,O392,M392,R392,S392,T392,U392,V392,0),"")</f>
        <v/>
      </c>
      <c r="F392" s="3" t="str">
        <f xml:space="preserve"> IF(E392="","",  IFERROR(VLOOKUP(D392,LookupLists!$N$3:$T$60,6,FALSE)-LEN(E392),0))</f>
        <v/>
      </c>
      <c r="G392" s="3" t="str">
        <f>IF(E392="","",IFERROR(matches(E392,VLOOKUP(D392,LookupLists!$N$3:$T$60,7,FALSE)),FALSE))</f>
        <v/>
      </c>
      <c r="H392" s="3" t="e">
        <f>VLOOKUP(A392,LookupLists!$I$3:$L$60,1,FALSE)</f>
        <v>#N/A</v>
      </c>
      <c r="I392" s="3" t="e">
        <f>VLOOKUP(A392,LookupLists!$I$3:$L$60,2,FALSE)</f>
        <v>#N/A</v>
      </c>
      <c r="J392" s="3" t="e">
        <f>VLOOKUP(A392,LookupLists!$I$3:$L$60,3,FALSE)</f>
        <v>#N/A</v>
      </c>
      <c r="K392" s="3" t="e">
        <f>VLOOKUP(A392,LookupLists!$I$3:$L$60,4,FALSE)</f>
        <v>#N/A</v>
      </c>
      <c r="L392" s="3" t="e">
        <f>VLOOKUP(C392,LookupLists!$A$3:$G$60,1,FALSE)</f>
        <v>#N/A</v>
      </c>
      <c r="M392" s="3" t="e">
        <f>VLOOKUP(C392,LookupLists!$A$3:$G$60,4,FALSE)</f>
        <v>#N/A</v>
      </c>
      <c r="N392" s="3" t="e">
        <f>VLOOKUP(C392,LookupLists!$A$3:$G$60,2,FALSE)</f>
        <v>#N/A</v>
      </c>
      <c r="O392" s="3" t="e">
        <f>VLOOKUP(C392,LookupLists!$A$3:$G$60,3,FALSE)</f>
        <v>#N/A</v>
      </c>
      <c r="P392" s="3" t="e">
        <f>VLOOKUP(C392,LookupLists!$A$3:$G$60,5,FALSE)</f>
        <v>#N/A</v>
      </c>
      <c r="Q392" s="3" t="e">
        <f>VLOOKUP(C392,LookupLists!$A$3:$G$60,6,FALSE)</f>
        <v>#N/A</v>
      </c>
      <c r="R392" s="4" t="e">
        <f>VLOOKUP(C392,LookupLists!$A$3:$G$60,7,FALSE)</f>
        <v>#N/A</v>
      </c>
      <c r="S392" s="3" t="e">
        <f>VLOOKUP(D392,LookupLists!$N$4:$T$60,1,FALSE)</f>
        <v>#N/A</v>
      </c>
      <c r="T392" s="3" t="e">
        <f>VLOOKUP(D392,LookupLists!$N$4:$T$60,2,FALSE)</f>
        <v>#N/A</v>
      </c>
      <c r="U392" s="3" t="e">
        <f>VLOOKUP(D392,LookupLists!$N$4:$T$60,3,FALSE)</f>
        <v>#N/A</v>
      </c>
      <c r="V392" s="3" t="e">
        <f>VLOOKUP(D392,LookupLists!$N$4:$T$60,5,FALSE)</f>
        <v>#N/A</v>
      </c>
    </row>
    <row r="393" spans="5:22" x14ac:dyDescent="0.3">
      <c r="E393" s="3" t="str">
        <f t="shared" si="6"/>
        <v/>
      </c>
      <c r="F393" s="3" t="str">
        <f xml:space="preserve"> IF(E393="","",  IFERROR(VLOOKUP(D393,LookupLists!$N$3:$T$60,6,FALSE)-LEN(E393),0))</f>
        <v/>
      </c>
      <c r="G393" s="3" t="str">
        <f>IF(E393="","",IFERROR(matches(E393,VLOOKUP(D393,LookupLists!$N$3:$T$60,7,FALSE)),FALSE))</f>
        <v/>
      </c>
      <c r="H393" s="3" t="e">
        <f>VLOOKUP(A393,LookupLists!$I$3:$L$60,1,FALSE)</f>
        <v>#N/A</v>
      </c>
      <c r="I393" s="3" t="e">
        <f>VLOOKUP(A393,LookupLists!$I$3:$L$60,2,FALSE)</f>
        <v>#N/A</v>
      </c>
      <c r="J393" s="3" t="e">
        <f>VLOOKUP(A393,LookupLists!$I$3:$L$60,3,FALSE)</f>
        <v>#N/A</v>
      </c>
      <c r="K393" s="3" t="e">
        <f>VLOOKUP(A393,LookupLists!$I$3:$L$60,4,FALSE)</f>
        <v>#N/A</v>
      </c>
      <c r="L393" s="3" t="e">
        <f>VLOOKUP(C393,LookupLists!$A$3:$G$60,1,FALSE)</f>
        <v>#N/A</v>
      </c>
      <c r="M393" s="3" t="e">
        <f>VLOOKUP(C393,LookupLists!$A$3:$G$60,4,FALSE)</f>
        <v>#N/A</v>
      </c>
      <c r="N393" s="3" t="e">
        <f>VLOOKUP(C393,LookupLists!$A$3:$G$60,2,FALSE)</f>
        <v>#N/A</v>
      </c>
      <c r="O393" s="3" t="e">
        <f>VLOOKUP(C393,LookupLists!$A$3:$G$60,3,FALSE)</f>
        <v>#N/A</v>
      </c>
      <c r="P393" s="3" t="e">
        <f>VLOOKUP(C393,LookupLists!$A$3:$G$60,5,FALSE)</f>
        <v>#N/A</v>
      </c>
      <c r="Q393" s="3" t="e">
        <f>VLOOKUP(C393,LookupLists!$A$3:$G$60,6,FALSE)</f>
        <v>#N/A</v>
      </c>
      <c r="R393" s="4" t="e">
        <f>VLOOKUP(C393,LookupLists!$A$3:$G$60,7,FALSE)</f>
        <v>#N/A</v>
      </c>
      <c r="S393" s="3" t="e">
        <f>VLOOKUP(D393,LookupLists!$N$4:$T$60,1,FALSE)</f>
        <v>#N/A</v>
      </c>
      <c r="T393" s="3" t="e">
        <f>VLOOKUP(D393,LookupLists!$N$4:$T$60,2,FALSE)</f>
        <v>#N/A</v>
      </c>
      <c r="U393" s="3" t="e">
        <f>VLOOKUP(D393,LookupLists!$N$4:$T$60,3,FALSE)</f>
        <v>#N/A</v>
      </c>
      <c r="V393" s="3" t="e">
        <f>VLOOKUP(D393,LookupLists!$N$4:$T$60,5,FALSE)</f>
        <v>#N/A</v>
      </c>
    </row>
    <row r="394" spans="5:22" x14ac:dyDescent="0.3">
      <c r="E394" s="3" t="str">
        <f t="shared" si="6"/>
        <v/>
      </c>
      <c r="F394" s="3" t="str">
        <f xml:space="preserve"> IF(E394="","",  IFERROR(VLOOKUP(D394,LookupLists!$N$3:$T$60,6,FALSE)-LEN(E394),0))</f>
        <v/>
      </c>
      <c r="G394" s="3" t="str">
        <f>IF(E394="","",IFERROR(matches(E394,VLOOKUP(D394,LookupLists!$N$3:$T$60,7,FALSE)),FALSE))</f>
        <v/>
      </c>
      <c r="H394" s="3" t="e">
        <f>VLOOKUP(A394,LookupLists!$I$3:$L$60,1,FALSE)</f>
        <v>#N/A</v>
      </c>
      <c r="I394" s="3" t="e">
        <f>VLOOKUP(A394,LookupLists!$I$3:$L$60,2,FALSE)</f>
        <v>#N/A</v>
      </c>
      <c r="J394" s="3" t="e">
        <f>VLOOKUP(A394,LookupLists!$I$3:$L$60,3,FALSE)</f>
        <v>#N/A</v>
      </c>
      <c r="K394" s="3" t="e">
        <f>VLOOKUP(A394,LookupLists!$I$3:$L$60,4,FALSE)</f>
        <v>#N/A</v>
      </c>
      <c r="L394" s="3" t="e">
        <f>VLOOKUP(C394,LookupLists!$A$3:$G$60,1,FALSE)</f>
        <v>#N/A</v>
      </c>
      <c r="M394" s="3" t="e">
        <f>VLOOKUP(C394,LookupLists!$A$3:$G$60,4,FALSE)</f>
        <v>#N/A</v>
      </c>
      <c r="N394" s="3" t="e">
        <f>VLOOKUP(C394,LookupLists!$A$3:$G$60,2,FALSE)</f>
        <v>#N/A</v>
      </c>
      <c r="O394" s="3" t="e">
        <f>VLOOKUP(C394,LookupLists!$A$3:$G$60,3,FALSE)</f>
        <v>#N/A</v>
      </c>
      <c r="P394" s="3" t="e">
        <f>VLOOKUP(C394,LookupLists!$A$3:$G$60,5,FALSE)</f>
        <v>#N/A</v>
      </c>
      <c r="Q394" s="3" t="e">
        <f>VLOOKUP(C394,LookupLists!$A$3:$G$60,6,FALSE)</f>
        <v>#N/A</v>
      </c>
      <c r="R394" s="4" t="e">
        <f>VLOOKUP(C394,LookupLists!$A$3:$G$60,7,FALSE)</f>
        <v>#N/A</v>
      </c>
      <c r="S394" s="3" t="e">
        <f>VLOOKUP(D394,LookupLists!$N$4:$T$60,1,FALSE)</f>
        <v>#N/A</v>
      </c>
      <c r="T394" s="3" t="e">
        <f>VLOOKUP(D394,LookupLists!$N$4:$T$60,2,FALSE)</f>
        <v>#N/A</v>
      </c>
      <c r="U394" s="3" t="e">
        <f>VLOOKUP(D394,LookupLists!$N$4:$T$60,3,FALSE)</f>
        <v>#N/A</v>
      </c>
      <c r="V394" s="3" t="e">
        <f>VLOOKUP(D394,LookupLists!$N$4:$T$60,5,FALSE)</f>
        <v>#N/A</v>
      </c>
    </row>
    <row r="395" spans="5:22" x14ac:dyDescent="0.3">
      <c r="E395" s="3" t="str">
        <f t="shared" si="6"/>
        <v/>
      </c>
      <c r="F395" s="3" t="str">
        <f xml:space="preserve"> IF(E395="","",  IFERROR(VLOOKUP(D395,LookupLists!$N$3:$T$60,6,FALSE)-LEN(E395),0))</f>
        <v/>
      </c>
      <c r="G395" s="3" t="str">
        <f>IF(E395="","",IFERROR(matches(E395,VLOOKUP(D395,LookupLists!$N$3:$T$60,7,FALSE)),FALSE))</f>
        <v/>
      </c>
      <c r="H395" s="3" t="e">
        <f>VLOOKUP(A395,LookupLists!$I$3:$L$60,1,FALSE)</f>
        <v>#N/A</v>
      </c>
      <c r="I395" s="3" t="e">
        <f>VLOOKUP(A395,LookupLists!$I$3:$L$60,2,FALSE)</f>
        <v>#N/A</v>
      </c>
      <c r="J395" s="3" t="e">
        <f>VLOOKUP(A395,LookupLists!$I$3:$L$60,3,FALSE)</f>
        <v>#N/A</v>
      </c>
      <c r="K395" s="3" t="e">
        <f>VLOOKUP(A395,LookupLists!$I$3:$L$60,4,FALSE)</f>
        <v>#N/A</v>
      </c>
      <c r="L395" s="3" t="e">
        <f>VLOOKUP(C395,LookupLists!$A$3:$G$60,1,FALSE)</f>
        <v>#N/A</v>
      </c>
      <c r="M395" s="3" t="e">
        <f>VLOOKUP(C395,LookupLists!$A$3:$G$60,4,FALSE)</f>
        <v>#N/A</v>
      </c>
      <c r="N395" s="3" t="e">
        <f>VLOOKUP(C395,LookupLists!$A$3:$G$60,2,FALSE)</f>
        <v>#N/A</v>
      </c>
      <c r="O395" s="3" t="e">
        <f>VLOOKUP(C395,LookupLists!$A$3:$G$60,3,FALSE)</f>
        <v>#N/A</v>
      </c>
      <c r="P395" s="3" t="e">
        <f>VLOOKUP(C395,LookupLists!$A$3:$G$60,5,FALSE)</f>
        <v>#N/A</v>
      </c>
      <c r="Q395" s="3" t="e">
        <f>VLOOKUP(C395,LookupLists!$A$3:$G$60,6,FALSE)</f>
        <v>#N/A</v>
      </c>
      <c r="R395" s="4" t="e">
        <f>VLOOKUP(C395,LookupLists!$A$3:$G$60,7,FALSE)</f>
        <v>#N/A</v>
      </c>
      <c r="S395" s="3" t="e">
        <f>VLOOKUP(D395,LookupLists!$N$4:$T$60,1,FALSE)</f>
        <v>#N/A</v>
      </c>
      <c r="T395" s="3" t="e">
        <f>VLOOKUP(D395,LookupLists!$N$4:$T$60,2,FALSE)</f>
        <v>#N/A</v>
      </c>
      <c r="U395" s="3" t="e">
        <f>VLOOKUP(D395,LookupLists!$N$4:$T$60,3,FALSE)</f>
        <v>#N/A</v>
      </c>
      <c r="V395" s="3" t="e">
        <f>VLOOKUP(D395,LookupLists!$N$4:$T$60,5,FALSE)</f>
        <v>#N/A</v>
      </c>
    </row>
    <row r="396" spans="5:22" x14ac:dyDescent="0.3">
      <c r="E396" s="3" t="str">
        <f t="shared" si="6"/>
        <v/>
      </c>
      <c r="F396" s="3" t="str">
        <f xml:space="preserve"> IF(E396="","",  IFERROR(VLOOKUP(D396,LookupLists!$N$3:$T$60,6,FALSE)-LEN(E396),0))</f>
        <v/>
      </c>
      <c r="G396" s="3" t="str">
        <f>IF(E396="","",IFERROR(matches(E396,VLOOKUP(D396,LookupLists!$N$3:$T$60,7,FALSE)),FALSE))</f>
        <v/>
      </c>
      <c r="H396" s="3" t="e">
        <f>VLOOKUP(A396,LookupLists!$I$3:$L$60,1,FALSE)</f>
        <v>#N/A</v>
      </c>
      <c r="I396" s="3" t="e">
        <f>VLOOKUP(A396,LookupLists!$I$3:$L$60,2,FALSE)</f>
        <v>#N/A</v>
      </c>
      <c r="J396" s="3" t="e">
        <f>VLOOKUP(A396,LookupLists!$I$3:$L$60,3,FALSE)</f>
        <v>#N/A</v>
      </c>
      <c r="K396" s="3" t="e">
        <f>VLOOKUP(A396,LookupLists!$I$3:$L$60,4,FALSE)</f>
        <v>#N/A</v>
      </c>
      <c r="L396" s="3" t="e">
        <f>VLOOKUP(C396,LookupLists!$A$3:$G$60,1,FALSE)</f>
        <v>#N/A</v>
      </c>
      <c r="M396" s="3" t="e">
        <f>VLOOKUP(C396,LookupLists!$A$3:$G$60,4,FALSE)</f>
        <v>#N/A</v>
      </c>
      <c r="N396" s="3" t="e">
        <f>VLOOKUP(C396,LookupLists!$A$3:$G$60,2,FALSE)</f>
        <v>#N/A</v>
      </c>
      <c r="O396" s="3" t="e">
        <f>VLOOKUP(C396,LookupLists!$A$3:$G$60,3,FALSE)</f>
        <v>#N/A</v>
      </c>
      <c r="P396" s="3" t="e">
        <f>VLOOKUP(C396,LookupLists!$A$3:$G$60,5,FALSE)</f>
        <v>#N/A</v>
      </c>
      <c r="Q396" s="3" t="e">
        <f>VLOOKUP(C396,LookupLists!$A$3:$G$60,6,FALSE)</f>
        <v>#N/A</v>
      </c>
      <c r="R396" s="4" t="e">
        <f>VLOOKUP(C396,LookupLists!$A$3:$G$60,7,FALSE)</f>
        <v>#N/A</v>
      </c>
      <c r="S396" s="3" t="e">
        <f>VLOOKUP(D396,LookupLists!$N$4:$T$60,1,FALSE)</f>
        <v>#N/A</v>
      </c>
      <c r="T396" s="3" t="e">
        <f>VLOOKUP(D396,LookupLists!$N$4:$T$60,2,FALSE)</f>
        <v>#N/A</v>
      </c>
      <c r="U396" s="3" t="e">
        <f>VLOOKUP(D396,LookupLists!$N$4:$T$60,3,FALSE)</f>
        <v>#N/A</v>
      </c>
      <c r="V396" s="3" t="e">
        <f>VLOOKUP(D396,LookupLists!$N$4:$T$60,5,FALSE)</f>
        <v>#N/A</v>
      </c>
    </row>
    <row r="397" spans="5:22" x14ac:dyDescent="0.3">
      <c r="E397" s="3" t="str">
        <f t="shared" si="6"/>
        <v/>
      </c>
      <c r="F397" s="3" t="str">
        <f xml:space="preserve"> IF(E397="","",  IFERROR(VLOOKUP(D397,LookupLists!$N$3:$T$60,6,FALSE)-LEN(E397),0))</f>
        <v/>
      </c>
      <c r="G397" s="3" t="str">
        <f>IF(E397="","",IFERROR(matches(E397,VLOOKUP(D397,LookupLists!$N$3:$T$60,7,FALSE)),FALSE))</f>
        <v/>
      </c>
      <c r="H397" s="3" t="e">
        <f>VLOOKUP(A397,LookupLists!$I$3:$L$60,1,FALSE)</f>
        <v>#N/A</v>
      </c>
      <c r="I397" s="3" t="e">
        <f>VLOOKUP(A397,LookupLists!$I$3:$L$60,2,FALSE)</f>
        <v>#N/A</v>
      </c>
      <c r="J397" s="3" t="e">
        <f>VLOOKUP(A397,LookupLists!$I$3:$L$60,3,FALSE)</f>
        <v>#N/A</v>
      </c>
      <c r="K397" s="3" t="e">
        <f>VLOOKUP(A397,LookupLists!$I$3:$L$60,4,FALSE)</f>
        <v>#N/A</v>
      </c>
      <c r="L397" s="3" t="e">
        <f>VLOOKUP(C397,LookupLists!$A$3:$G$60,1,FALSE)</f>
        <v>#N/A</v>
      </c>
      <c r="M397" s="3" t="e">
        <f>VLOOKUP(C397,LookupLists!$A$3:$G$60,4,FALSE)</f>
        <v>#N/A</v>
      </c>
      <c r="N397" s="3" t="e">
        <f>VLOOKUP(C397,LookupLists!$A$3:$G$60,2,FALSE)</f>
        <v>#N/A</v>
      </c>
      <c r="O397" s="3" t="e">
        <f>VLOOKUP(C397,LookupLists!$A$3:$G$60,3,FALSE)</f>
        <v>#N/A</v>
      </c>
      <c r="P397" s="3" t="e">
        <f>VLOOKUP(C397,LookupLists!$A$3:$G$60,5,FALSE)</f>
        <v>#N/A</v>
      </c>
      <c r="Q397" s="3" t="e">
        <f>VLOOKUP(C397,LookupLists!$A$3:$G$60,6,FALSE)</f>
        <v>#N/A</v>
      </c>
      <c r="R397" s="4" t="e">
        <f>VLOOKUP(C397,LookupLists!$A$3:$G$60,7,FALSE)</f>
        <v>#N/A</v>
      </c>
      <c r="S397" s="3" t="e">
        <f>VLOOKUP(D397,LookupLists!$N$4:$T$60,1,FALSE)</f>
        <v>#N/A</v>
      </c>
      <c r="T397" s="3" t="e">
        <f>VLOOKUP(D397,LookupLists!$N$4:$T$60,2,FALSE)</f>
        <v>#N/A</v>
      </c>
      <c r="U397" s="3" t="e">
        <f>VLOOKUP(D397,LookupLists!$N$4:$T$60,3,FALSE)</f>
        <v>#N/A</v>
      </c>
      <c r="V397" s="3" t="e">
        <f>VLOOKUP(D397,LookupLists!$N$4:$T$60,5,FALSE)</f>
        <v>#N/A</v>
      </c>
    </row>
    <row r="398" spans="5:22" x14ac:dyDescent="0.3">
      <c r="E398" s="3" t="str">
        <f t="shared" si="6"/>
        <v/>
      </c>
      <c r="F398" s="3" t="str">
        <f xml:space="preserve"> IF(E398="","",  IFERROR(VLOOKUP(D398,LookupLists!$N$3:$T$60,6,FALSE)-LEN(E398),0))</f>
        <v/>
      </c>
      <c r="G398" s="3" t="str">
        <f>IF(E398="","",IFERROR(matches(E398,VLOOKUP(D398,LookupLists!$N$3:$T$60,7,FALSE)),FALSE))</f>
        <v/>
      </c>
      <c r="H398" s="3" t="e">
        <f>VLOOKUP(A398,LookupLists!$I$3:$L$60,1,FALSE)</f>
        <v>#N/A</v>
      </c>
      <c r="I398" s="3" t="e">
        <f>VLOOKUP(A398,LookupLists!$I$3:$L$60,2,FALSE)</f>
        <v>#N/A</v>
      </c>
      <c r="J398" s="3" t="e">
        <f>VLOOKUP(A398,LookupLists!$I$3:$L$60,3,FALSE)</f>
        <v>#N/A</v>
      </c>
      <c r="K398" s="3" t="e">
        <f>VLOOKUP(A398,LookupLists!$I$3:$L$60,4,FALSE)</f>
        <v>#N/A</v>
      </c>
      <c r="L398" s="3" t="e">
        <f>VLOOKUP(C398,LookupLists!$A$3:$G$60,1,FALSE)</f>
        <v>#N/A</v>
      </c>
      <c r="M398" s="3" t="e">
        <f>VLOOKUP(C398,LookupLists!$A$3:$G$60,4,FALSE)</f>
        <v>#N/A</v>
      </c>
      <c r="N398" s="3" t="e">
        <f>VLOOKUP(C398,LookupLists!$A$3:$G$60,2,FALSE)</f>
        <v>#N/A</v>
      </c>
      <c r="O398" s="3" t="e">
        <f>VLOOKUP(C398,LookupLists!$A$3:$G$60,3,FALSE)</f>
        <v>#N/A</v>
      </c>
      <c r="P398" s="3" t="e">
        <f>VLOOKUP(C398,LookupLists!$A$3:$G$60,5,FALSE)</f>
        <v>#N/A</v>
      </c>
      <c r="Q398" s="3" t="e">
        <f>VLOOKUP(C398,LookupLists!$A$3:$G$60,6,FALSE)</f>
        <v>#N/A</v>
      </c>
      <c r="R398" s="4" t="e">
        <f>VLOOKUP(C398,LookupLists!$A$3:$G$60,7,FALSE)</f>
        <v>#N/A</v>
      </c>
      <c r="S398" s="3" t="e">
        <f>VLOOKUP(D398,LookupLists!$N$4:$T$60,1,FALSE)</f>
        <v>#N/A</v>
      </c>
      <c r="T398" s="3" t="e">
        <f>VLOOKUP(D398,LookupLists!$N$4:$T$60,2,FALSE)</f>
        <v>#N/A</v>
      </c>
      <c r="U398" s="3" t="e">
        <f>VLOOKUP(D398,LookupLists!$N$4:$T$60,3,FALSE)</f>
        <v>#N/A</v>
      </c>
      <c r="V398" s="3" t="e">
        <f>VLOOKUP(D398,LookupLists!$N$4:$T$60,5,FALSE)</f>
        <v>#N/A</v>
      </c>
    </row>
    <row r="399" spans="5:22" x14ac:dyDescent="0.3">
      <c r="E399" s="3" t="str">
        <f t="shared" si="6"/>
        <v/>
      </c>
      <c r="F399" s="3" t="str">
        <f xml:space="preserve"> IF(E399="","",  IFERROR(VLOOKUP(D399,LookupLists!$N$3:$T$60,6,FALSE)-LEN(E399),0))</f>
        <v/>
      </c>
      <c r="G399" s="3" t="str">
        <f>IF(E399="","",IFERROR(matches(E399,VLOOKUP(D399,LookupLists!$N$3:$T$60,7,FALSE)),FALSE))</f>
        <v/>
      </c>
      <c r="H399" s="3" t="e">
        <f>VLOOKUP(A399,LookupLists!$I$3:$L$60,1,FALSE)</f>
        <v>#N/A</v>
      </c>
      <c r="I399" s="3" t="e">
        <f>VLOOKUP(A399,LookupLists!$I$3:$L$60,2,FALSE)</f>
        <v>#N/A</v>
      </c>
      <c r="J399" s="3" t="e">
        <f>VLOOKUP(A399,LookupLists!$I$3:$L$60,3,FALSE)</f>
        <v>#N/A</v>
      </c>
      <c r="K399" s="3" t="e">
        <f>VLOOKUP(A399,LookupLists!$I$3:$L$60,4,FALSE)</f>
        <v>#N/A</v>
      </c>
      <c r="L399" s="3" t="e">
        <f>VLOOKUP(C399,LookupLists!$A$3:$G$60,1,FALSE)</f>
        <v>#N/A</v>
      </c>
      <c r="M399" s="3" t="e">
        <f>VLOOKUP(C399,LookupLists!$A$3:$G$60,4,FALSE)</f>
        <v>#N/A</v>
      </c>
      <c r="N399" s="3" t="e">
        <f>VLOOKUP(C399,LookupLists!$A$3:$G$60,2,FALSE)</f>
        <v>#N/A</v>
      </c>
      <c r="O399" s="3" t="e">
        <f>VLOOKUP(C399,LookupLists!$A$3:$G$60,3,FALSE)</f>
        <v>#N/A</v>
      </c>
      <c r="P399" s="3" t="e">
        <f>VLOOKUP(C399,LookupLists!$A$3:$G$60,5,FALSE)</f>
        <v>#N/A</v>
      </c>
      <c r="Q399" s="3" t="e">
        <f>VLOOKUP(C399,LookupLists!$A$3:$G$60,6,FALSE)</f>
        <v>#N/A</v>
      </c>
      <c r="R399" s="4" t="e">
        <f>VLOOKUP(C399,LookupLists!$A$3:$G$60,7,FALSE)</f>
        <v>#N/A</v>
      </c>
      <c r="S399" s="3" t="e">
        <f>VLOOKUP(D399,LookupLists!$N$4:$T$60,1,FALSE)</f>
        <v>#N/A</v>
      </c>
      <c r="T399" s="3" t="e">
        <f>VLOOKUP(D399,LookupLists!$N$4:$T$60,2,FALSE)</f>
        <v>#N/A</v>
      </c>
      <c r="U399" s="3" t="e">
        <f>VLOOKUP(D399,LookupLists!$N$4:$T$60,3,FALSE)</f>
        <v>#N/A</v>
      </c>
      <c r="V399" s="3" t="e">
        <f>VLOOKUP(D399,LookupLists!$N$4:$T$60,5,FALSE)</f>
        <v>#N/A</v>
      </c>
    </row>
    <row r="400" spans="5:22" x14ac:dyDescent="0.3">
      <c r="E400" s="3" t="str">
        <f t="shared" si="6"/>
        <v/>
      </c>
      <c r="F400" s="3" t="str">
        <f xml:space="preserve"> IF(E400="","",  IFERROR(VLOOKUP(D400,LookupLists!$N$3:$T$60,6,FALSE)-LEN(E400),0))</f>
        <v/>
      </c>
      <c r="G400" s="3" t="str">
        <f>IF(E400="","",IFERROR(matches(E400,VLOOKUP(D400,LookupLists!$N$3:$T$60,7,FALSE)),FALSE))</f>
        <v/>
      </c>
      <c r="H400" s="3" t="e">
        <f>VLOOKUP(A400,LookupLists!$I$3:$L$60,1,FALSE)</f>
        <v>#N/A</v>
      </c>
      <c r="I400" s="3" t="e">
        <f>VLOOKUP(A400,LookupLists!$I$3:$L$60,2,FALSE)</f>
        <v>#N/A</v>
      </c>
      <c r="J400" s="3" t="e">
        <f>VLOOKUP(A400,LookupLists!$I$3:$L$60,3,FALSE)</f>
        <v>#N/A</v>
      </c>
      <c r="K400" s="3" t="e">
        <f>VLOOKUP(A400,LookupLists!$I$3:$L$60,4,FALSE)</f>
        <v>#N/A</v>
      </c>
      <c r="L400" s="3" t="e">
        <f>VLOOKUP(C400,LookupLists!$A$3:$G$60,1,FALSE)</f>
        <v>#N/A</v>
      </c>
      <c r="M400" s="3" t="e">
        <f>VLOOKUP(C400,LookupLists!$A$3:$G$60,4,FALSE)</f>
        <v>#N/A</v>
      </c>
      <c r="N400" s="3" t="e">
        <f>VLOOKUP(C400,LookupLists!$A$3:$G$60,2,FALSE)</f>
        <v>#N/A</v>
      </c>
      <c r="O400" s="3" t="e">
        <f>VLOOKUP(C400,LookupLists!$A$3:$G$60,3,FALSE)</f>
        <v>#N/A</v>
      </c>
      <c r="P400" s="3" t="e">
        <f>VLOOKUP(C400,LookupLists!$A$3:$G$60,5,FALSE)</f>
        <v>#N/A</v>
      </c>
      <c r="Q400" s="3" t="e">
        <f>VLOOKUP(C400,LookupLists!$A$3:$G$60,6,FALSE)</f>
        <v>#N/A</v>
      </c>
      <c r="R400" s="4" t="e">
        <f>VLOOKUP(C400,LookupLists!$A$3:$G$60,7,FALSE)</f>
        <v>#N/A</v>
      </c>
      <c r="S400" s="3" t="e">
        <f>VLOOKUP(D400,LookupLists!$N$4:$T$60,1,FALSE)</f>
        <v>#N/A</v>
      </c>
      <c r="T400" s="3" t="e">
        <f>VLOOKUP(D400,LookupLists!$N$4:$T$60,2,FALSE)</f>
        <v>#N/A</v>
      </c>
      <c r="U400" s="3" t="e">
        <f>VLOOKUP(D400,LookupLists!$N$4:$T$60,3,FALSE)</f>
        <v>#N/A</v>
      </c>
      <c r="V400" s="3" t="e">
        <f>VLOOKUP(D400,LookupLists!$N$4:$T$60,5,FALSE)</f>
        <v>#N/A</v>
      </c>
    </row>
  </sheetData>
  <mergeCells count="4">
    <mergeCell ref="H5:V5"/>
    <mergeCell ref="B1:E1"/>
    <mergeCell ref="B2:E2"/>
    <mergeCell ref="B3:E3"/>
  </mergeCells>
  <conditionalFormatting sqref="F7:F400">
    <cfRule type="cellIs" dxfId="1" priority="2" operator="lessThan">
      <formula>0</formula>
    </cfRule>
  </conditionalFormatting>
  <conditionalFormatting sqref="G7:G400">
    <cfRule type="cellIs" dxfId="0" priority="1" operator="equal">
      <formula>FALSE</formula>
    </cfRule>
  </conditionalFormatting>
  <dataValidations count="3">
    <dataValidation type="list" allowBlank="1" showInputMessage="1" showErrorMessage="1" sqref="C7:C39">
      <formula1>AzureRegions</formula1>
    </dataValidation>
    <dataValidation type="list" allowBlank="1" showInputMessage="1" showErrorMessage="1" sqref="D7:D39">
      <formula1>AzureResourceTypes</formula1>
    </dataValidation>
    <dataValidation type="list" allowBlank="1" showInputMessage="1" showErrorMessage="1" sqref="A7:A400">
      <formula1>Environments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4"/>
  <sheetViews>
    <sheetView zoomScale="130" zoomScaleNormal="130" workbookViewId="0">
      <selection activeCell="Q15" sqref="Q15"/>
    </sheetView>
  </sheetViews>
  <sheetFormatPr defaultRowHeight="16.5" x14ac:dyDescent="0.3"/>
  <cols>
    <col min="1" max="3" width="20.140625" style="3" customWidth="1"/>
    <col min="4" max="4" width="24.85546875" style="3" customWidth="1"/>
    <col min="5" max="7" width="14" style="3" customWidth="1"/>
    <col min="8" max="8" width="5.140625" style="3" customWidth="1"/>
    <col min="9" max="9" width="17.42578125" style="3" customWidth="1"/>
    <col min="10" max="12" width="19.5703125" style="3" customWidth="1"/>
    <col min="13" max="13" width="11.5703125" style="3" customWidth="1"/>
    <col min="14" max="14" width="38.5703125" style="3" customWidth="1"/>
    <col min="15" max="19" width="17" style="3" customWidth="1"/>
    <col min="20" max="20" width="44.5703125" style="3" customWidth="1"/>
    <col min="21" max="16384" width="9.140625" style="3"/>
  </cols>
  <sheetData>
    <row r="1" spans="1:22" ht="33" x14ac:dyDescent="0.6">
      <c r="A1" s="12" t="s">
        <v>69</v>
      </c>
      <c r="B1" s="12"/>
      <c r="C1" s="12"/>
      <c r="D1" s="12"/>
      <c r="E1" s="12"/>
      <c r="F1" s="12"/>
      <c r="G1" s="12"/>
      <c r="I1" s="12" t="s">
        <v>98</v>
      </c>
      <c r="J1" s="12"/>
      <c r="K1" s="12"/>
      <c r="L1" s="12"/>
      <c r="M1" s="6"/>
      <c r="N1" s="12" t="s">
        <v>121</v>
      </c>
      <c r="O1" s="12"/>
      <c r="P1" s="12"/>
      <c r="Q1" s="12"/>
      <c r="R1" s="12"/>
      <c r="S1" s="12"/>
      <c r="T1" s="12"/>
      <c r="U1" s="12"/>
      <c r="V1" s="12"/>
    </row>
    <row r="2" spans="1:22" ht="33.75" customHeight="1" x14ac:dyDescent="0.3">
      <c r="A2" s="1" t="s">
        <v>96</v>
      </c>
      <c r="B2" s="13" t="s">
        <v>97</v>
      </c>
      <c r="C2" s="13"/>
      <c r="D2" s="13"/>
      <c r="E2" s="13"/>
      <c r="F2" s="13"/>
      <c r="G2" s="13"/>
      <c r="I2" s="1" t="s">
        <v>96</v>
      </c>
      <c r="J2" s="13"/>
      <c r="K2" s="13"/>
      <c r="L2" s="13"/>
      <c r="M2" s="7"/>
      <c r="N2" s="1" t="s">
        <v>96</v>
      </c>
      <c r="O2" s="13" t="s">
        <v>97</v>
      </c>
      <c r="P2" s="13"/>
      <c r="Q2" s="13"/>
      <c r="R2" s="13"/>
      <c r="S2" s="13"/>
      <c r="T2" s="13"/>
      <c r="U2" s="10"/>
      <c r="V2" s="10"/>
    </row>
    <row r="3" spans="1:22" x14ac:dyDescent="0.3">
      <c r="A3" s="2" t="s">
        <v>7</v>
      </c>
      <c r="B3" s="2" t="s">
        <v>94</v>
      </c>
      <c r="C3" s="2" t="s">
        <v>95</v>
      </c>
      <c r="D3" s="2" t="s">
        <v>100</v>
      </c>
      <c r="E3" s="2" t="s">
        <v>70</v>
      </c>
      <c r="F3" s="2" t="s">
        <v>71</v>
      </c>
      <c r="G3" s="2" t="s">
        <v>64</v>
      </c>
      <c r="I3" s="2" t="s">
        <v>99</v>
      </c>
      <c r="J3" s="2" t="s">
        <v>100</v>
      </c>
      <c r="K3" s="2" t="s">
        <v>101</v>
      </c>
      <c r="L3" s="2" t="s">
        <v>102</v>
      </c>
      <c r="M3" s="2"/>
      <c r="N3" s="2" t="s">
        <v>108</v>
      </c>
      <c r="O3" s="2" t="s">
        <v>100</v>
      </c>
      <c r="P3" s="2" t="s">
        <v>101</v>
      </c>
      <c r="Q3" s="2" t="s">
        <v>152</v>
      </c>
      <c r="R3" s="2" t="s">
        <v>102</v>
      </c>
      <c r="S3" s="2" t="s">
        <v>109</v>
      </c>
      <c r="T3" s="2" t="s">
        <v>110</v>
      </c>
    </row>
    <row r="4" spans="1:22" x14ac:dyDescent="0.3">
      <c r="A4" s="3" t="s">
        <v>23</v>
      </c>
      <c r="B4" s="3" t="s">
        <v>72</v>
      </c>
      <c r="C4" s="3" t="s">
        <v>84</v>
      </c>
      <c r="D4" s="3" t="str">
        <f>CONCATENATE(B4,"-",C4)</f>
        <v>us-e</v>
      </c>
      <c r="E4" s="3">
        <v>16</v>
      </c>
      <c r="F4" s="3">
        <v>0</v>
      </c>
      <c r="G4" s="4" t="str">
        <f>DEC2HEX(E4+F4)</f>
        <v>10</v>
      </c>
      <c r="I4" s="3" t="s">
        <v>5</v>
      </c>
      <c r="J4" s="3" t="s">
        <v>104</v>
      </c>
      <c r="K4" s="3" t="s">
        <v>6</v>
      </c>
      <c r="L4" s="5">
        <v>1</v>
      </c>
      <c r="M4" s="5"/>
      <c r="N4" s="3" t="s">
        <v>9</v>
      </c>
      <c r="O4" s="3" t="s">
        <v>54</v>
      </c>
      <c r="P4" s="3" t="s">
        <v>54</v>
      </c>
      <c r="Q4" s="3" t="s">
        <v>153</v>
      </c>
      <c r="S4" s="3">
        <v>64</v>
      </c>
      <c r="T4" s="3" t="s">
        <v>116</v>
      </c>
    </row>
    <row r="5" spans="1:22" x14ac:dyDescent="0.3">
      <c r="A5" s="3" t="s">
        <v>24</v>
      </c>
      <c r="B5" s="3" t="s">
        <v>72</v>
      </c>
      <c r="C5" s="3" t="s">
        <v>85</v>
      </c>
      <c r="D5" s="3" t="str">
        <f t="shared" ref="D5:D34" si="0">CONCATENATE(B5,"-",C5)</f>
        <v>us-e2</v>
      </c>
      <c r="E5" s="3">
        <v>16</v>
      </c>
      <c r="F5" s="3">
        <v>1</v>
      </c>
      <c r="G5" s="4" t="str">
        <f t="shared" ref="G5:G34" si="1">DEC2HEX(E5+F5)</f>
        <v>11</v>
      </c>
      <c r="I5" s="3" t="s">
        <v>103</v>
      </c>
      <c r="J5" s="3" t="s">
        <v>105</v>
      </c>
      <c r="K5" s="3" t="s">
        <v>107</v>
      </c>
      <c r="L5" s="5">
        <f>L4+1</f>
        <v>2</v>
      </c>
      <c r="M5" s="5"/>
      <c r="N5" s="3" t="s">
        <v>10</v>
      </c>
      <c r="O5" s="3" t="s">
        <v>61</v>
      </c>
      <c r="P5" s="3" t="s">
        <v>137</v>
      </c>
      <c r="Q5" s="3" t="s">
        <v>9</v>
      </c>
      <c r="S5" s="3">
        <v>80</v>
      </c>
      <c r="T5" s="3" t="s">
        <v>117</v>
      </c>
    </row>
    <row r="6" spans="1:22" x14ac:dyDescent="0.3">
      <c r="A6" s="3" t="s">
        <v>25</v>
      </c>
      <c r="B6" s="3" t="s">
        <v>72</v>
      </c>
      <c r="C6" s="3" t="s">
        <v>86</v>
      </c>
      <c r="D6" s="3" t="str">
        <f t="shared" si="0"/>
        <v>us-c</v>
      </c>
      <c r="E6" s="3">
        <v>16</v>
      </c>
      <c r="F6" s="3">
        <v>4</v>
      </c>
      <c r="G6" s="4" t="str">
        <f t="shared" si="1"/>
        <v>14</v>
      </c>
      <c r="I6" s="3" t="s">
        <v>3</v>
      </c>
      <c r="J6" s="3" t="s">
        <v>90</v>
      </c>
      <c r="K6" s="3" t="s">
        <v>4</v>
      </c>
      <c r="L6" s="5">
        <f t="shared" ref="L6:L7" si="2">L5+1</f>
        <v>3</v>
      </c>
      <c r="M6" s="5"/>
      <c r="N6" s="3" t="s">
        <v>11</v>
      </c>
      <c r="O6" s="3" t="s">
        <v>56</v>
      </c>
      <c r="P6" s="3" t="s">
        <v>56</v>
      </c>
      <c r="Q6" s="3" t="s">
        <v>9</v>
      </c>
      <c r="S6" s="3">
        <v>15</v>
      </c>
      <c r="T6" s="3" t="s">
        <v>119</v>
      </c>
    </row>
    <row r="7" spans="1:22" x14ac:dyDescent="0.3">
      <c r="A7" s="3" t="s">
        <v>26</v>
      </c>
      <c r="B7" s="3" t="s">
        <v>72</v>
      </c>
      <c r="C7" s="3" t="s">
        <v>79</v>
      </c>
      <c r="D7" s="3" t="str">
        <f t="shared" si="0"/>
        <v>us-cn</v>
      </c>
      <c r="E7" s="3">
        <v>16</v>
      </c>
      <c r="F7" s="3">
        <v>5</v>
      </c>
      <c r="G7" s="4" t="str">
        <f t="shared" si="1"/>
        <v>15</v>
      </c>
      <c r="I7" s="3" t="s">
        <v>1</v>
      </c>
      <c r="J7" s="3" t="s">
        <v>106</v>
      </c>
      <c r="K7" s="3" t="s">
        <v>2</v>
      </c>
      <c r="L7" s="5">
        <f t="shared" si="2"/>
        <v>4</v>
      </c>
      <c r="M7" s="5"/>
      <c r="N7" s="3" t="s">
        <v>18</v>
      </c>
      <c r="O7" s="3" t="s">
        <v>4</v>
      </c>
      <c r="P7" s="3" t="s">
        <v>65</v>
      </c>
      <c r="Q7" s="3" t="s">
        <v>153</v>
      </c>
      <c r="S7" s="3">
        <v>24</v>
      </c>
      <c r="T7" s="3" t="s">
        <v>120</v>
      </c>
    </row>
    <row r="8" spans="1:22" x14ac:dyDescent="0.3">
      <c r="A8" s="3" t="s">
        <v>27</v>
      </c>
      <c r="B8" s="3" t="s">
        <v>72</v>
      </c>
      <c r="C8" s="3" t="s">
        <v>87</v>
      </c>
      <c r="D8" s="3" t="str">
        <f t="shared" si="0"/>
        <v>us-cw</v>
      </c>
      <c r="E8" s="3">
        <v>16</v>
      </c>
      <c r="F8" s="3">
        <v>6</v>
      </c>
      <c r="G8" s="4" t="str">
        <f t="shared" si="1"/>
        <v>16</v>
      </c>
      <c r="N8" s="3" t="s">
        <v>19</v>
      </c>
      <c r="O8" s="3" t="s">
        <v>131</v>
      </c>
      <c r="P8" s="3" t="s">
        <v>62</v>
      </c>
      <c r="Q8" s="3" t="s">
        <v>9</v>
      </c>
      <c r="S8" s="3">
        <v>63</v>
      </c>
      <c r="T8" s="3" t="s">
        <v>122</v>
      </c>
    </row>
    <row r="9" spans="1:22" x14ac:dyDescent="0.3">
      <c r="A9" s="3" t="s">
        <v>28</v>
      </c>
      <c r="B9" s="3" t="s">
        <v>72</v>
      </c>
      <c r="C9" s="3" t="s">
        <v>88</v>
      </c>
      <c r="D9" s="3" t="str">
        <f t="shared" si="0"/>
        <v>us-w</v>
      </c>
      <c r="E9" s="3">
        <v>16</v>
      </c>
      <c r="F9" s="3">
        <v>8</v>
      </c>
      <c r="G9" s="4" t="str">
        <f t="shared" si="1"/>
        <v>18</v>
      </c>
      <c r="N9" s="3" t="s">
        <v>12</v>
      </c>
      <c r="O9" s="3" t="s">
        <v>63</v>
      </c>
      <c r="P9" s="3" t="s">
        <v>136</v>
      </c>
      <c r="Q9" s="3" t="s">
        <v>9</v>
      </c>
      <c r="S9" s="3">
        <v>80</v>
      </c>
      <c r="T9" s="3" t="s">
        <v>123</v>
      </c>
    </row>
    <row r="10" spans="1:22" x14ac:dyDescent="0.3">
      <c r="A10" s="3" t="s">
        <v>29</v>
      </c>
      <c r="B10" s="3" t="s">
        <v>72</v>
      </c>
      <c r="C10" s="3" t="s">
        <v>89</v>
      </c>
      <c r="D10" s="3" t="str">
        <f t="shared" si="0"/>
        <v>us-w2</v>
      </c>
      <c r="E10" s="3">
        <v>16</v>
      </c>
      <c r="F10" s="3">
        <v>9</v>
      </c>
      <c r="G10" s="4" t="str">
        <f t="shared" si="1"/>
        <v>19</v>
      </c>
      <c r="N10" s="3" t="s">
        <v>13</v>
      </c>
      <c r="O10" s="3" t="s">
        <v>57</v>
      </c>
      <c r="P10" s="3" t="s">
        <v>135</v>
      </c>
      <c r="Q10" s="3" t="s">
        <v>9</v>
      </c>
      <c r="S10" s="3">
        <v>80</v>
      </c>
      <c r="T10" s="3" t="s">
        <v>123</v>
      </c>
    </row>
    <row r="11" spans="1:22" x14ac:dyDescent="0.3">
      <c r="A11" s="3" t="s">
        <v>30</v>
      </c>
      <c r="B11" s="3" t="s">
        <v>73</v>
      </c>
      <c r="C11" s="3" t="s">
        <v>84</v>
      </c>
      <c r="D11" s="3" t="str">
        <f t="shared" si="0"/>
        <v>ca-e</v>
      </c>
      <c r="E11" s="3">
        <v>32</v>
      </c>
      <c r="F11" s="3">
        <v>0</v>
      </c>
      <c r="G11" s="4" t="str">
        <f t="shared" si="1"/>
        <v>20</v>
      </c>
      <c r="N11" s="3" t="s">
        <v>14</v>
      </c>
      <c r="O11" s="3" t="s">
        <v>57</v>
      </c>
      <c r="P11" s="3" t="s">
        <v>142</v>
      </c>
      <c r="Q11" s="3" t="s">
        <v>9</v>
      </c>
      <c r="S11" s="3">
        <v>80</v>
      </c>
      <c r="T11" s="3" t="s">
        <v>123</v>
      </c>
    </row>
    <row r="12" spans="1:22" x14ac:dyDescent="0.3">
      <c r="A12" s="3" t="s">
        <v>31</v>
      </c>
      <c r="B12" s="3" t="s">
        <v>73</v>
      </c>
      <c r="C12" s="3" t="s">
        <v>86</v>
      </c>
      <c r="D12" s="3" t="str">
        <f t="shared" si="0"/>
        <v>ca-c</v>
      </c>
      <c r="E12" s="3">
        <v>32</v>
      </c>
      <c r="F12" s="3">
        <v>4</v>
      </c>
      <c r="G12" s="4" t="str">
        <f t="shared" si="1"/>
        <v>24</v>
      </c>
      <c r="N12" s="3" t="s">
        <v>15</v>
      </c>
      <c r="O12" s="3" t="s">
        <v>140</v>
      </c>
      <c r="P12" s="3" t="s">
        <v>66</v>
      </c>
      <c r="Q12" s="3" t="s">
        <v>9</v>
      </c>
      <c r="S12" s="3">
        <v>80</v>
      </c>
      <c r="T12" s="3" t="s">
        <v>123</v>
      </c>
    </row>
    <row r="13" spans="1:22" x14ac:dyDescent="0.3">
      <c r="A13" s="3" t="s">
        <v>32</v>
      </c>
      <c r="B13" s="3" t="s">
        <v>74</v>
      </c>
      <c r="C13" s="3" t="s">
        <v>90</v>
      </c>
      <c r="D13" s="3" t="str">
        <f t="shared" si="0"/>
        <v>br-s</v>
      </c>
      <c r="E13" s="3">
        <v>48</v>
      </c>
      <c r="F13" s="3">
        <v>0</v>
      </c>
      <c r="G13" s="4" t="str">
        <f t="shared" si="1"/>
        <v>30</v>
      </c>
      <c r="N13" s="3" t="s">
        <v>16</v>
      </c>
      <c r="O13" s="3" t="s">
        <v>58</v>
      </c>
      <c r="P13" s="3" t="s">
        <v>138</v>
      </c>
      <c r="Q13" s="3" t="s">
        <v>9</v>
      </c>
      <c r="S13" s="3">
        <v>80</v>
      </c>
      <c r="T13" s="3" t="s">
        <v>123</v>
      </c>
    </row>
    <row r="14" spans="1:22" x14ac:dyDescent="0.3">
      <c r="A14" s="3" t="s">
        <v>33</v>
      </c>
      <c r="B14" s="3" t="s">
        <v>75</v>
      </c>
      <c r="C14" s="3" t="s">
        <v>91</v>
      </c>
      <c r="D14" s="3" t="str">
        <f t="shared" si="0"/>
        <v>eu-n</v>
      </c>
      <c r="E14" s="3">
        <v>64</v>
      </c>
      <c r="F14" s="3">
        <v>0</v>
      </c>
      <c r="G14" s="4" t="str">
        <f t="shared" si="1"/>
        <v>40</v>
      </c>
      <c r="N14" s="3" t="s">
        <v>20</v>
      </c>
      <c r="O14" s="3" t="s">
        <v>143</v>
      </c>
      <c r="P14" s="3" t="s">
        <v>144</v>
      </c>
      <c r="Q14" s="3" t="s">
        <v>9</v>
      </c>
      <c r="S14" s="3">
        <v>80</v>
      </c>
      <c r="T14" s="3" t="s">
        <v>123</v>
      </c>
    </row>
    <row r="15" spans="1:22" x14ac:dyDescent="0.3">
      <c r="A15" s="3" t="s">
        <v>34</v>
      </c>
      <c r="B15" s="3" t="s">
        <v>75</v>
      </c>
      <c r="C15" s="3" t="s">
        <v>88</v>
      </c>
      <c r="D15" s="3" t="str">
        <f t="shared" si="0"/>
        <v>eu-w</v>
      </c>
      <c r="E15" s="3">
        <v>80</v>
      </c>
      <c r="F15" s="3">
        <v>4</v>
      </c>
      <c r="G15" s="4" t="str">
        <f t="shared" si="1"/>
        <v>54</v>
      </c>
      <c r="N15" s="3" t="s">
        <v>17</v>
      </c>
      <c r="O15" s="3" t="s">
        <v>59</v>
      </c>
      <c r="P15" s="3" t="s">
        <v>146</v>
      </c>
      <c r="Q15" s="3" t="s">
        <v>9</v>
      </c>
      <c r="S15" s="3">
        <v>63</v>
      </c>
      <c r="T15" s="3" t="s">
        <v>124</v>
      </c>
    </row>
    <row r="16" spans="1:22" x14ac:dyDescent="0.3">
      <c r="A16" s="3" t="s">
        <v>35</v>
      </c>
      <c r="B16" s="3" t="s">
        <v>83</v>
      </c>
      <c r="C16" s="3" t="s">
        <v>86</v>
      </c>
      <c r="D16" s="3" t="str">
        <f t="shared" si="0"/>
        <v>de-c</v>
      </c>
      <c r="E16" s="3">
        <v>80</v>
      </c>
      <c r="F16" s="3">
        <v>0</v>
      </c>
      <c r="G16" s="4" t="str">
        <f t="shared" si="1"/>
        <v>50</v>
      </c>
      <c r="N16" s="3" t="s">
        <v>21</v>
      </c>
      <c r="O16" s="3" t="s">
        <v>147</v>
      </c>
      <c r="P16" s="3" t="s">
        <v>148</v>
      </c>
      <c r="Q16" s="3" t="s">
        <v>153</v>
      </c>
      <c r="S16" s="3">
        <v>40</v>
      </c>
      <c r="T16" s="3" t="s">
        <v>118</v>
      </c>
    </row>
    <row r="17" spans="1:20" x14ac:dyDescent="0.3">
      <c r="A17" s="3" t="s">
        <v>36</v>
      </c>
      <c r="B17" s="3" t="s">
        <v>83</v>
      </c>
      <c r="C17" s="3" t="s">
        <v>92</v>
      </c>
      <c r="D17" s="3" t="str">
        <f t="shared" si="0"/>
        <v>de-ne</v>
      </c>
      <c r="E17" s="3">
        <v>80</v>
      </c>
      <c r="F17" s="3">
        <v>4</v>
      </c>
      <c r="G17" s="4" t="str">
        <f t="shared" si="1"/>
        <v>54</v>
      </c>
      <c r="N17" s="3" t="s">
        <v>22</v>
      </c>
      <c r="O17" s="3" t="s">
        <v>60</v>
      </c>
      <c r="P17" s="3" t="s">
        <v>60</v>
      </c>
      <c r="Q17" s="3" t="s">
        <v>153</v>
      </c>
      <c r="S17" s="3">
        <v>24</v>
      </c>
      <c r="T17" s="3" t="s">
        <v>127</v>
      </c>
    </row>
    <row r="18" spans="1:20" x14ac:dyDescent="0.3">
      <c r="A18" s="3" t="s">
        <v>37</v>
      </c>
      <c r="B18" s="3" t="s">
        <v>76</v>
      </c>
      <c r="C18" s="3" t="s">
        <v>88</v>
      </c>
      <c r="D18" s="3" t="str">
        <f t="shared" si="0"/>
        <v>uk-w</v>
      </c>
      <c r="E18" s="3">
        <v>96</v>
      </c>
      <c r="F18" s="3">
        <v>0</v>
      </c>
      <c r="G18" s="4" t="str">
        <f t="shared" si="1"/>
        <v>60</v>
      </c>
      <c r="N18" s="3" t="s">
        <v>67</v>
      </c>
      <c r="O18" s="3" t="s">
        <v>68</v>
      </c>
      <c r="P18" s="3" t="s">
        <v>145</v>
      </c>
      <c r="Q18" s="3" t="s">
        <v>9</v>
      </c>
      <c r="S18" s="3">
        <v>40</v>
      </c>
      <c r="T18" s="3" t="s">
        <v>118</v>
      </c>
    </row>
    <row r="19" spans="1:20" x14ac:dyDescent="0.3">
      <c r="A19" s="3" t="s">
        <v>38</v>
      </c>
      <c r="B19" s="3" t="s">
        <v>76</v>
      </c>
      <c r="C19" s="3" t="s">
        <v>90</v>
      </c>
      <c r="D19" s="3" t="str">
        <f t="shared" si="0"/>
        <v>uk-s</v>
      </c>
      <c r="E19" s="3">
        <v>96</v>
      </c>
      <c r="F19" s="3">
        <v>4</v>
      </c>
      <c r="G19" s="4" t="str">
        <f t="shared" si="1"/>
        <v>64</v>
      </c>
      <c r="N19" s="3" t="s">
        <v>111</v>
      </c>
      <c r="O19" s="3" t="s">
        <v>132</v>
      </c>
      <c r="P19" s="3" t="s">
        <v>139</v>
      </c>
      <c r="Q19" s="3" t="s">
        <v>153</v>
      </c>
      <c r="S19" s="3">
        <v>50</v>
      </c>
      <c r="T19" s="3" t="s">
        <v>129</v>
      </c>
    </row>
    <row r="20" spans="1:20" x14ac:dyDescent="0.3">
      <c r="A20" s="3" t="s">
        <v>39</v>
      </c>
      <c r="B20" s="3" t="s">
        <v>77</v>
      </c>
      <c r="C20" s="3" t="s">
        <v>86</v>
      </c>
      <c r="D20" s="3" t="str">
        <f t="shared" si="0"/>
        <v>fr-c</v>
      </c>
      <c r="E20" s="3">
        <v>112</v>
      </c>
      <c r="F20" s="3">
        <v>0</v>
      </c>
      <c r="G20" s="4" t="str">
        <f t="shared" si="1"/>
        <v>70</v>
      </c>
      <c r="N20" s="3" t="s">
        <v>112</v>
      </c>
      <c r="O20" s="3" t="s">
        <v>141</v>
      </c>
      <c r="P20" s="3" t="s">
        <v>141</v>
      </c>
      <c r="Q20" s="3" t="s">
        <v>153</v>
      </c>
      <c r="S20" s="3">
        <v>63</v>
      </c>
      <c r="T20" s="3" t="s">
        <v>126</v>
      </c>
    </row>
    <row r="21" spans="1:20" x14ac:dyDescent="0.3">
      <c r="A21" s="3" t="s">
        <v>40</v>
      </c>
      <c r="B21" s="3" t="s">
        <v>77</v>
      </c>
      <c r="C21" s="3" t="s">
        <v>90</v>
      </c>
      <c r="D21" s="3" t="str">
        <f t="shared" si="0"/>
        <v>fr-s</v>
      </c>
      <c r="E21" s="3">
        <v>112</v>
      </c>
      <c r="F21" s="3">
        <v>4</v>
      </c>
      <c r="G21" s="4" t="str">
        <f t="shared" si="1"/>
        <v>74</v>
      </c>
      <c r="N21" s="3" t="s">
        <v>113</v>
      </c>
      <c r="O21" s="3" t="s">
        <v>149</v>
      </c>
      <c r="P21" s="3" t="s">
        <v>150</v>
      </c>
      <c r="Q21" s="3" t="s">
        <v>153</v>
      </c>
      <c r="S21" s="3">
        <v>60</v>
      </c>
      <c r="T21" s="3" t="s">
        <v>130</v>
      </c>
    </row>
    <row r="22" spans="1:20" x14ac:dyDescent="0.3">
      <c r="A22" s="3" t="s">
        <v>41</v>
      </c>
      <c r="B22" s="3" t="s">
        <v>55</v>
      </c>
      <c r="C22" s="3" t="s">
        <v>93</v>
      </c>
      <c r="D22" s="3" t="str">
        <f t="shared" si="0"/>
        <v>as-se</v>
      </c>
      <c r="E22" s="3">
        <v>128</v>
      </c>
      <c r="F22" s="3">
        <v>0</v>
      </c>
      <c r="G22" s="4" t="str">
        <f t="shared" si="1"/>
        <v>80</v>
      </c>
      <c r="N22" s="3" t="s">
        <v>114</v>
      </c>
      <c r="O22" s="3" t="s">
        <v>134</v>
      </c>
      <c r="P22" s="3" t="s">
        <v>134</v>
      </c>
      <c r="Q22" s="3" t="s">
        <v>153</v>
      </c>
      <c r="S22" s="3">
        <v>24</v>
      </c>
      <c r="T22" s="3" t="s">
        <v>128</v>
      </c>
    </row>
    <row r="23" spans="1:20" x14ac:dyDescent="0.3">
      <c r="A23" s="3" t="s">
        <v>42</v>
      </c>
      <c r="B23" s="3" t="s">
        <v>55</v>
      </c>
      <c r="C23" s="3" t="s">
        <v>84</v>
      </c>
      <c r="D23" s="3" t="str">
        <f t="shared" si="0"/>
        <v>as-e</v>
      </c>
      <c r="E23" s="3">
        <v>128</v>
      </c>
      <c r="F23" s="3">
        <v>4</v>
      </c>
      <c r="G23" s="4" t="str">
        <f t="shared" si="1"/>
        <v>84</v>
      </c>
      <c r="N23" s="3" t="s">
        <v>115</v>
      </c>
      <c r="O23" s="3" t="s">
        <v>133</v>
      </c>
      <c r="P23" s="3" t="s">
        <v>151</v>
      </c>
      <c r="Q23" s="3" t="s">
        <v>9</v>
      </c>
      <c r="S23" s="3">
        <v>38</v>
      </c>
      <c r="T23" s="3" t="s">
        <v>125</v>
      </c>
    </row>
    <row r="24" spans="1:20" x14ac:dyDescent="0.3">
      <c r="A24" s="3" t="s">
        <v>43</v>
      </c>
      <c r="B24" s="3" t="s">
        <v>78</v>
      </c>
      <c r="C24" s="3" t="s">
        <v>84</v>
      </c>
      <c r="D24" s="3" t="str">
        <f t="shared" si="0"/>
        <v>au-e</v>
      </c>
      <c r="E24" s="3">
        <v>144</v>
      </c>
      <c r="F24" s="3">
        <v>0</v>
      </c>
      <c r="G24" s="4" t="str">
        <f t="shared" si="1"/>
        <v>90</v>
      </c>
    </row>
    <row r="25" spans="1:20" x14ac:dyDescent="0.3">
      <c r="A25" s="3" t="s">
        <v>44</v>
      </c>
      <c r="B25" s="3" t="s">
        <v>78</v>
      </c>
      <c r="C25" s="3" t="s">
        <v>93</v>
      </c>
      <c r="D25" s="3" t="str">
        <f t="shared" si="0"/>
        <v>au-se</v>
      </c>
      <c r="E25" s="3">
        <v>144</v>
      </c>
      <c r="F25" s="3">
        <v>4</v>
      </c>
      <c r="G25" s="4" t="str">
        <f t="shared" si="1"/>
        <v>94</v>
      </c>
    </row>
    <row r="26" spans="1:20" x14ac:dyDescent="0.3">
      <c r="A26" s="3" t="s">
        <v>45</v>
      </c>
      <c r="B26" s="3" t="s">
        <v>79</v>
      </c>
      <c r="C26" s="3" t="s">
        <v>84</v>
      </c>
      <c r="D26" s="3" t="str">
        <f t="shared" si="0"/>
        <v>cn-e</v>
      </c>
      <c r="E26" s="3">
        <v>160</v>
      </c>
      <c r="F26" s="3">
        <v>0</v>
      </c>
      <c r="G26" s="4" t="str">
        <f t="shared" si="1"/>
        <v>A0</v>
      </c>
    </row>
    <row r="27" spans="1:20" x14ac:dyDescent="0.3">
      <c r="A27" s="3" t="s">
        <v>46</v>
      </c>
      <c r="B27" s="3" t="s">
        <v>79</v>
      </c>
      <c r="C27" s="3" t="s">
        <v>91</v>
      </c>
      <c r="D27" s="3" t="str">
        <f t="shared" si="0"/>
        <v>cn-n</v>
      </c>
      <c r="E27" s="3">
        <v>160</v>
      </c>
      <c r="F27" s="3">
        <v>4</v>
      </c>
      <c r="G27" s="4" t="str">
        <f t="shared" si="1"/>
        <v>A4</v>
      </c>
    </row>
    <row r="28" spans="1:20" x14ac:dyDescent="0.3">
      <c r="A28" s="3" t="s">
        <v>47</v>
      </c>
      <c r="B28" s="3" t="s">
        <v>80</v>
      </c>
      <c r="C28" s="3" t="s">
        <v>86</v>
      </c>
      <c r="D28" s="3" t="str">
        <f t="shared" si="0"/>
        <v>in-c</v>
      </c>
      <c r="E28" s="3">
        <v>176</v>
      </c>
      <c r="F28" s="3">
        <v>0</v>
      </c>
      <c r="G28" s="4" t="str">
        <f t="shared" si="1"/>
        <v>B0</v>
      </c>
    </row>
    <row r="29" spans="1:20" x14ac:dyDescent="0.3">
      <c r="A29" s="3" t="s">
        <v>48</v>
      </c>
      <c r="B29" s="3" t="s">
        <v>80</v>
      </c>
      <c r="C29" s="3" t="s">
        <v>88</v>
      </c>
      <c r="D29" s="3" t="str">
        <f t="shared" si="0"/>
        <v>in-w</v>
      </c>
      <c r="E29" s="3">
        <v>176</v>
      </c>
      <c r="F29" s="3">
        <v>4</v>
      </c>
      <c r="G29" s="4" t="str">
        <f t="shared" si="1"/>
        <v>B4</v>
      </c>
    </row>
    <row r="30" spans="1:20" x14ac:dyDescent="0.3">
      <c r="A30" s="3" t="s">
        <v>49</v>
      </c>
      <c r="B30" s="3" t="s">
        <v>80</v>
      </c>
      <c r="C30" s="3" t="s">
        <v>90</v>
      </c>
      <c r="D30" s="3" t="str">
        <f t="shared" si="0"/>
        <v>in-s</v>
      </c>
      <c r="E30" s="3">
        <v>176</v>
      </c>
      <c r="F30" s="3">
        <v>8</v>
      </c>
      <c r="G30" s="4" t="str">
        <f t="shared" si="1"/>
        <v>B8</v>
      </c>
    </row>
    <row r="31" spans="1:20" x14ac:dyDescent="0.3">
      <c r="A31" s="3" t="s">
        <v>50</v>
      </c>
      <c r="B31" s="3" t="s">
        <v>81</v>
      </c>
      <c r="C31" s="3" t="s">
        <v>84</v>
      </c>
      <c r="D31" s="3" t="str">
        <f t="shared" si="0"/>
        <v>jp-e</v>
      </c>
      <c r="E31" s="3">
        <v>192</v>
      </c>
      <c r="F31" s="3">
        <v>0</v>
      </c>
      <c r="G31" s="4" t="str">
        <f t="shared" si="1"/>
        <v>C0</v>
      </c>
    </row>
    <row r="32" spans="1:20" x14ac:dyDescent="0.3">
      <c r="A32" s="3" t="s">
        <v>51</v>
      </c>
      <c r="B32" s="3" t="s">
        <v>81</v>
      </c>
      <c r="C32" s="3" t="s">
        <v>88</v>
      </c>
      <c r="D32" s="3" t="str">
        <f t="shared" si="0"/>
        <v>jp-w</v>
      </c>
      <c r="E32" s="3">
        <v>192</v>
      </c>
      <c r="F32" s="3">
        <v>4</v>
      </c>
      <c r="G32" s="4" t="str">
        <f t="shared" si="1"/>
        <v>C4</v>
      </c>
    </row>
    <row r="33" spans="1:7" x14ac:dyDescent="0.3">
      <c r="A33" s="3" t="s">
        <v>52</v>
      </c>
      <c r="B33" s="3" t="s">
        <v>82</v>
      </c>
      <c r="C33" s="3" t="s">
        <v>86</v>
      </c>
      <c r="D33" s="3" t="str">
        <f t="shared" si="0"/>
        <v>kr-c</v>
      </c>
      <c r="E33" s="3">
        <v>208</v>
      </c>
      <c r="F33" s="3">
        <v>0</v>
      </c>
      <c r="G33" s="4" t="str">
        <f t="shared" si="1"/>
        <v>D0</v>
      </c>
    </row>
    <row r="34" spans="1:7" x14ac:dyDescent="0.3">
      <c r="A34" s="3" t="s">
        <v>53</v>
      </c>
      <c r="B34" s="3" t="s">
        <v>82</v>
      </c>
      <c r="C34" s="3" t="s">
        <v>90</v>
      </c>
      <c r="D34" s="3" t="str">
        <f t="shared" si="0"/>
        <v>kr-s</v>
      </c>
      <c r="E34" s="3">
        <v>208</v>
      </c>
      <c r="F34" s="3">
        <v>4</v>
      </c>
      <c r="G34" s="4" t="str">
        <f t="shared" si="1"/>
        <v>D4</v>
      </c>
    </row>
  </sheetData>
  <mergeCells count="8">
    <mergeCell ref="U1:V1"/>
    <mergeCell ref="U2:V2"/>
    <mergeCell ref="B2:G2"/>
    <mergeCell ref="A1:G1"/>
    <mergeCell ref="J2:L2"/>
    <mergeCell ref="I1:L1"/>
    <mergeCell ref="N1:T1"/>
    <mergeCell ref="O2:T2"/>
  </mergeCell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Resource Names</vt:lpstr>
      <vt:lpstr>LookupLists</vt:lpstr>
      <vt:lpstr>AzureResourceTypes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Smith</dc:creator>
  <cp:lastModifiedBy>Nathan Smith</cp:lastModifiedBy>
  <dcterms:created xsi:type="dcterms:W3CDTF">2017-05-10T05:21:09Z</dcterms:created>
  <dcterms:modified xsi:type="dcterms:W3CDTF">2017-05-20T16:36:27Z</dcterms:modified>
</cp:coreProperties>
</file>